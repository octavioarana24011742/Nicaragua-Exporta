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708683A-6411-405F-8F1F-11FBCE25930D}" xr6:coauthVersionLast="47" xr6:coauthVersionMax="47" xr10:uidLastSave="{00000000-0000-0000-0000-000000000000}"/>
  <bookViews>
    <workbookView xWindow="-108" yWindow="-108" windowWidth="23256" windowHeight="12576" tabRatio="890" activeTab="2" xr2:uid="{00000000-000D-0000-FFFF-FFFF00000000}"/>
  </bookViews>
  <sheets>
    <sheet name="Resumen Ejecutivo" sheetId="1" r:id="rId1"/>
    <sheet name="Tablas y gráficos" sheetId="2" r:id="rId2"/>
    <sheet name="Tablas dinámicas" sheetId="6" r:id="rId3"/>
    <sheet name="Operaciones" sheetId="3" r:id="rId4"/>
    <sheet name="Productos" sheetId="4" r:id="rId5"/>
    <sheet name="Mercados" sheetId="5" r:id="rId6"/>
  </sheets>
  <calcPr calcId="191029"/>
  <pivotCaches>
    <pivotCache cacheId="1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1" l="1"/>
  <c r="F40" i="1"/>
  <c r="F39" i="1"/>
  <c r="C17" i="1"/>
  <c r="C10" i="1"/>
  <c r="C8" i="1"/>
  <c r="C18" i="1"/>
  <c r="C11" i="1"/>
  <c r="C9" i="1"/>
  <c r="C7" i="1"/>
  <c r="Q9" i="2"/>
  <c r="Q8" i="2"/>
  <c r="Q7" i="2"/>
  <c r="Q6" i="2"/>
  <c r="Q5" i="2"/>
  <c r="P9" i="2"/>
  <c r="P8" i="2"/>
  <c r="P7" i="2"/>
  <c r="P6" i="2"/>
  <c r="P5" i="2"/>
  <c r="N9" i="2"/>
  <c r="N8" i="2"/>
  <c r="N7" i="2"/>
  <c r="N6" i="2"/>
  <c r="N5" i="2"/>
  <c r="F9" i="2"/>
  <c r="F8" i="2"/>
  <c r="F7" i="2"/>
  <c r="F6" i="2"/>
  <c r="F5" i="2"/>
  <c r="C9" i="2"/>
  <c r="C8" i="2"/>
  <c r="C7" i="2"/>
  <c r="C6" i="2"/>
  <c r="C5" i="2"/>
  <c r="P103" i="3"/>
  <c r="O103" i="3"/>
  <c r="T103" i="3" s="1"/>
  <c r="N103" i="3"/>
  <c r="M103" i="3"/>
  <c r="L103" i="3"/>
  <c r="K103" i="3"/>
  <c r="J103" i="3"/>
  <c r="T102" i="3"/>
  <c r="P102" i="3"/>
  <c r="O102" i="3"/>
  <c r="Q102" i="3" s="1"/>
  <c r="R102" i="3" s="1"/>
  <c r="S102" i="3" s="1"/>
  <c r="N102" i="3"/>
  <c r="M102" i="3"/>
  <c r="L102" i="3"/>
  <c r="K102" i="3"/>
  <c r="J102" i="3"/>
  <c r="T101" i="3"/>
  <c r="P101" i="3"/>
  <c r="O101" i="3"/>
  <c r="N101" i="3"/>
  <c r="M101" i="3"/>
  <c r="L101" i="3"/>
  <c r="K101" i="3"/>
  <c r="J101" i="3"/>
  <c r="R100" i="3"/>
  <c r="S100" i="3" s="1"/>
  <c r="P100" i="3"/>
  <c r="O100" i="3"/>
  <c r="Q100" i="3" s="1"/>
  <c r="N100" i="3"/>
  <c r="U100" i="3" s="1"/>
  <c r="M100" i="3"/>
  <c r="L100" i="3"/>
  <c r="K100" i="3"/>
  <c r="J100" i="3"/>
  <c r="T99" i="3"/>
  <c r="P99" i="3"/>
  <c r="O99" i="3"/>
  <c r="Q99" i="3" s="1"/>
  <c r="R99" i="3" s="1"/>
  <c r="S99" i="3" s="1"/>
  <c r="N99" i="3"/>
  <c r="M99" i="3"/>
  <c r="L99" i="3"/>
  <c r="K99" i="3"/>
  <c r="J99" i="3"/>
  <c r="P98" i="3"/>
  <c r="O98" i="3"/>
  <c r="N98" i="3"/>
  <c r="M98" i="3"/>
  <c r="L98" i="3"/>
  <c r="K98" i="3"/>
  <c r="J98" i="3"/>
  <c r="T97" i="3"/>
  <c r="S97" i="3"/>
  <c r="P97" i="3"/>
  <c r="O97" i="3"/>
  <c r="Q97" i="3" s="1"/>
  <c r="R97" i="3" s="1"/>
  <c r="N97" i="3"/>
  <c r="M97" i="3"/>
  <c r="L97" i="3"/>
  <c r="K97" i="3"/>
  <c r="J97" i="3"/>
  <c r="T96" i="3"/>
  <c r="P96" i="3"/>
  <c r="O96" i="3"/>
  <c r="N96" i="3"/>
  <c r="M96" i="3"/>
  <c r="L96" i="3"/>
  <c r="K96" i="3"/>
  <c r="J96" i="3"/>
  <c r="T95" i="3"/>
  <c r="P95" i="3"/>
  <c r="O95" i="3"/>
  <c r="N95" i="3"/>
  <c r="M95" i="3"/>
  <c r="L95" i="3"/>
  <c r="K95" i="3"/>
  <c r="J95" i="3"/>
  <c r="T94" i="3"/>
  <c r="R94" i="3"/>
  <c r="S94" i="3" s="1"/>
  <c r="P94" i="3"/>
  <c r="O94" i="3"/>
  <c r="Q94" i="3" s="1"/>
  <c r="N94" i="3"/>
  <c r="M94" i="3"/>
  <c r="L94" i="3"/>
  <c r="K94" i="3"/>
  <c r="J94" i="3"/>
  <c r="T93" i="3"/>
  <c r="P93" i="3"/>
  <c r="O93" i="3"/>
  <c r="N93" i="3"/>
  <c r="M93" i="3"/>
  <c r="L93" i="3"/>
  <c r="K93" i="3"/>
  <c r="J93" i="3"/>
  <c r="R92" i="3"/>
  <c r="S92" i="3" s="1"/>
  <c r="P92" i="3"/>
  <c r="O92" i="3"/>
  <c r="Q92" i="3" s="1"/>
  <c r="N92" i="3"/>
  <c r="U92" i="3" s="1"/>
  <c r="M92" i="3"/>
  <c r="L92" i="3"/>
  <c r="K92" i="3"/>
  <c r="J92" i="3"/>
  <c r="T91" i="3"/>
  <c r="P91" i="3"/>
  <c r="O91" i="3"/>
  <c r="Q91" i="3" s="1"/>
  <c r="R91" i="3" s="1"/>
  <c r="S91" i="3" s="1"/>
  <c r="N91" i="3"/>
  <c r="M91" i="3"/>
  <c r="L91" i="3"/>
  <c r="K91" i="3"/>
  <c r="J91" i="3"/>
  <c r="P90" i="3"/>
  <c r="O90" i="3"/>
  <c r="N90" i="3"/>
  <c r="M90" i="3"/>
  <c r="L90" i="3"/>
  <c r="K90" i="3"/>
  <c r="J90" i="3"/>
  <c r="T89" i="3"/>
  <c r="S89" i="3"/>
  <c r="P89" i="3"/>
  <c r="O89" i="3"/>
  <c r="Q89" i="3" s="1"/>
  <c r="R89" i="3" s="1"/>
  <c r="N89" i="3"/>
  <c r="M89" i="3"/>
  <c r="L89" i="3"/>
  <c r="K89" i="3"/>
  <c r="J89" i="3"/>
  <c r="T88" i="3"/>
  <c r="P88" i="3"/>
  <c r="O88" i="3"/>
  <c r="N88" i="3"/>
  <c r="M88" i="3"/>
  <c r="L88" i="3"/>
  <c r="K88" i="3"/>
  <c r="J88" i="3"/>
  <c r="T87" i="3"/>
  <c r="P87" i="3"/>
  <c r="O87" i="3"/>
  <c r="N87" i="3"/>
  <c r="M87" i="3"/>
  <c r="L87" i="3"/>
  <c r="K87" i="3"/>
  <c r="J87" i="3"/>
  <c r="T86" i="3"/>
  <c r="R86" i="3"/>
  <c r="S86" i="3" s="1"/>
  <c r="P86" i="3"/>
  <c r="O86" i="3"/>
  <c r="Q86" i="3" s="1"/>
  <c r="N86" i="3"/>
  <c r="M86" i="3"/>
  <c r="L86" i="3"/>
  <c r="K86" i="3"/>
  <c r="J86" i="3"/>
  <c r="T85" i="3"/>
  <c r="P85" i="3"/>
  <c r="O85" i="3"/>
  <c r="Q85" i="3" s="1"/>
  <c r="R85" i="3" s="1"/>
  <c r="S85" i="3" s="1"/>
  <c r="N85" i="3"/>
  <c r="M85" i="3"/>
  <c r="L85" i="3"/>
  <c r="K85" i="3"/>
  <c r="J85" i="3"/>
  <c r="P84" i="3"/>
  <c r="O84" i="3"/>
  <c r="N84" i="3"/>
  <c r="M84" i="3"/>
  <c r="L84" i="3"/>
  <c r="K84" i="3"/>
  <c r="J84" i="3"/>
  <c r="T83" i="3"/>
  <c r="P83" i="3"/>
  <c r="O83" i="3"/>
  <c r="Q83" i="3" s="1"/>
  <c r="R83" i="3" s="1"/>
  <c r="S83" i="3" s="1"/>
  <c r="N83" i="3"/>
  <c r="M83" i="3"/>
  <c r="L83" i="3"/>
  <c r="K83" i="3"/>
  <c r="J83" i="3"/>
  <c r="T82" i="3"/>
  <c r="P82" i="3"/>
  <c r="O82" i="3"/>
  <c r="N82" i="3"/>
  <c r="M82" i="3"/>
  <c r="L82" i="3"/>
  <c r="K82" i="3"/>
  <c r="J82" i="3"/>
  <c r="T81" i="3"/>
  <c r="S81" i="3"/>
  <c r="P81" i="3"/>
  <c r="O81" i="3"/>
  <c r="Q81" i="3" s="1"/>
  <c r="R81" i="3" s="1"/>
  <c r="N81" i="3"/>
  <c r="M81" i="3"/>
  <c r="L81" i="3"/>
  <c r="K81" i="3"/>
  <c r="J81" i="3"/>
  <c r="T80" i="3"/>
  <c r="P80" i="3"/>
  <c r="O80" i="3"/>
  <c r="N80" i="3"/>
  <c r="M80" i="3"/>
  <c r="L80" i="3"/>
  <c r="K80" i="3"/>
  <c r="J80" i="3"/>
  <c r="T79" i="3"/>
  <c r="P79" i="3"/>
  <c r="O79" i="3"/>
  <c r="N79" i="3"/>
  <c r="M79" i="3"/>
  <c r="L79" i="3"/>
  <c r="K79" i="3"/>
  <c r="J79" i="3"/>
  <c r="T78" i="3"/>
  <c r="P78" i="3"/>
  <c r="O78" i="3"/>
  <c r="N78" i="3"/>
  <c r="M78" i="3"/>
  <c r="L78" i="3"/>
  <c r="K78" i="3"/>
  <c r="J78" i="3"/>
  <c r="T77" i="3"/>
  <c r="P77" i="3"/>
  <c r="O77" i="3"/>
  <c r="Q77" i="3" s="1"/>
  <c r="R77" i="3" s="1"/>
  <c r="S77" i="3" s="1"/>
  <c r="N77" i="3"/>
  <c r="M77" i="3"/>
  <c r="L77" i="3"/>
  <c r="K77" i="3"/>
  <c r="J77" i="3"/>
  <c r="P76" i="3"/>
  <c r="O76" i="3"/>
  <c r="N76" i="3"/>
  <c r="M76" i="3"/>
  <c r="L76" i="3"/>
  <c r="K76" i="3"/>
  <c r="J76" i="3"/>
  <c r="T75" i="3"/>
  <c r="P75" i="3"/>
  <c r="O75" i="3"/>
  <c r="Q75" i="3" s="1"/>
  <c r="R75" i="3" s="1"/>
  <c r="S75" i="3" s="1"/>
  <c r="N75" i="3"/>
  <c r="M75" i="3"/>
  <c r="L75" i="3"/>
  <c r="K75" i="3"/>
  <c r="J75" i="3"/>
  <c r="T74" i="3"/>
  <c r="P74" i="3"/>
  <c r="O74" i="3"/>
  <c r="N74" i="3"/>
  <c r="M74" i="3"/>
  <c r="L74" i="3"/>
  <c r="K74" i="3"/>
  <c r="J74" i="3"/>
  <c r="T73" i="3"/>
  <c r="S73" i="3"/>
  <c r="P73" i="3"/>
  <c r="O73" i="3"/>
  <c r="Q73" i="3" s="1"/>
  <c r="R73" i="3" s="1"/>
  <c r="N73" i="3"/>
  <c r="M73" i="3"/>
  <c r="L73" i="3"/>
  <c r="K73" i="3"/>
  <c r="J73" i="3"/>
  <c r="T72" i="3"/>
  <c r="P72" i="3"/>
  <c r="O72" i="3"/>
  <c r="N72" i="3"/>
  <c r="M72" i="3"/>
  <c r="L72" i="3"/>
  <c r="K72" i="3"/>
  <c r="J72" i="3"/>
  <c r="T71" i="3"/>
  <c r="P71" i="3"/>
  <c r="O71" i="3"/>
  <c r="N71" i="3"/>
  <c r="M71" i="3"/>
  <c r="L71" i="3"/>
  <c r="K71" i="3"/>
  <c r="J71" i="3"/>
  <c r="T70" i="3"/>
  <c r="P70" i="3"/>
  <c r="O70" i="3"/>
  <c r="N70" i="3"/>
  <c r="M70" i="3"/>
  <c r="L70" i="3"/>
  <c r="K70" i="3"/>
  <c r="J70" i="3"/>
  <c r="T69" i="3"/>
  <c r="P69" i="3"/>
  <c r="O69" i="3"/>
  <c r="Q69" i="3" s="1"/>
  <c r="R69" i="3" s="1"/>
  <c r="S69" i="3" s="1"/>
  <c r="N69" i="3"/>
  <c r="M69" i="3"/>
  <c r="L69" i="3"/>
  <c r="K69" i="3"/>
  <c r="J69" i="3"/>
  <c r="T68" i="3"/>
  <c r="P68" i="3"/>
  <c r="O68" i="3"/>
  <c r="N68" i="3"/>
  <c r="M68" i="3"/>
  <c r="L68" i="3"/>
  <c r="K68" i="3"/>
  <c r="J68" i="3"/>
  <c r="T67" i="3"/>
  <c r="P67" i="3"/>
  <c r="O67" i="3"/>
  <c r="N67" i="3"/>
  <c r="M67" i="3"/>
  <c r="L67" i="3"/>
  <c r="K67" i="3"/>
  <c r="J67" i="3"/>
  <c r="R66" i="3"/>
  <c r="S66" i="3" s="1"/>
  <c r="P66" i="3"/>
  <c r="O66" i="3"/>
  <c r="Q66" i="3" s="1"/>
  <c r="N66" i="3"/>
  <c r="M66" i="3"/>
  <c r="L66" i="3"/>
  <c r="K66" i="3"/>
  <c r="J66" i="3"/>
  <c r="T65" i="3"/>
  <c r="P65" i="3"/>
  <c r="O65" i="3"/>
  <c r="N65" i="3"/>
  <c r="M65" i="3"/>
  <c r="L65" i="3"/>
  <c r="K65" i="3"/>
  <c r="J65" i="3"/>
  <c r="T64" i="3"/>
  <c r="P64" i="3"/>
  <c r="O64" i="3"/>
  <c r="N64" i="3"/>
  <c r="M64" i="3"/>
  <c r="L64" i="3"/>
  <c r="K64" i="3"/>
  <c r="J64" i="3"/>
  <c r="T63" i="3"/>
  <c r="P63" i="3"/>
  <c r="O63" i="3"/>
  <c r="N63" i="3"/>
  <c r="M63" i="3"/>
  <c r="L63" i="3"/>
  <c r="K63" i="3"/>
  <c r="J63" i="3"/>
  <c r="P62" i="3"/>
  <c r="O62" i="3"/>
  <c r="Q62" i="3" s="1"/>
  <c r="R62" i="3" s="1"/>
  <c r="S62" i="3" s="1"/>
  <c r="N62" i="3"/>
  <c r="M62" i="3"/>
  <c r="L62" i="3"/>
  <c r="K62" i="3"/>
  <c r="J62" i="3"/>
  <c r="T61" i="3"/>
  <c r="R61" i="3"/>
  <c r="S61" i="3" s="1"/>
  <c r="P61" i="3"/>
  <c r="O61" i="3"/>
  <c r="Q61" i="3" s="1"/>
  <c r="N61" i="3"/>
  <c r="U61" i="3" s="1"/>
  <c r="M61" i="3"/>
  <c r="L61" i="3"/>
  <c r="K61" i="3"/>
  <c r="J61" i="3"/>
  <c r="P60" i="3"/>
  <c r="O60" i="3"/>
  <c r="Q60" i="3" s="1"/>
  <c r="R60" i="3" s="1"/>
  <c r="S60" i="3" s="1"/>
  <c r="N60" i="3"/>
  <c r="M60" i="3"/>
  <c r="L60" i="3"/>
  <c r="K60" i="3"/>
  <c r="J60" i="3"/>
  <c r="T59" i="3"/>
  <c r="P59" i="3"/>
  <c r="O59" i="3"/>
  <c r="N59" i="3"/>
  <c r="M59" i="3"/>
  <c r="L59" i="3"/>
  <c r="K59" i="3"/>
  <c r="J59" i="3"/>
  <c r="T58" i="3"/>
  <c r="P58" i="3"/>
  <c r="O58" i="3"/>
  <c r="Q58" i="3" s="1"/>
  <c r="R58" i="3" s="1"/>
  <c r="S58" i="3" s="1"/>
  <c r="N58" i="3"/>
  <c r="M58" i="3"/>
  <c r="L58" i="3"/>
  <c r="K58" i="3"/>
  <c r="J58" i="3"/>
  <c r="P57" i="3"/>
  <c r="O57" i="3"/>
  <c r="Q57" i="3" s="1"/>
  <c r="R57" i="3" s="1"/>
  <c r="S57" i="3" s="1"/>
  <c r="N57" i="3"/>
  <c r="M57" i="3"/>
  <c r="L57" i="3"/>
  <c r="K57" i="3"/>
  <c r="J57" i="3"/>
  <c r="R56" i="3"/>
  <c r="S56" i="3" s="1"/>
  <c r="P56" i="3"/>
  <c r="O56" i="3"/>
  <c r="Q56" i="3" s="1"/>
  <c r="N56" i="3"/>
  <c r="U56" i="3" s="1"/>
  <c r="M56" i="3"/>
  <c r="L56" i="3"/>
  <c r="K56" i="3"/>
  <c r="J56" i="3"/>
  <c r="T55" i="3"/>
  <c r="P55" i="3"/>
  <c r="O55" i="3"/>
  <c r="N55" i="3"/>
  <c r="M55" i="3"/>
  <c r="L55" i="3"/>
  <c r="K55" i="3"/>
  <c r="J55" i="3"/>
  <c r="T54" i="3"/>
  <c r="P54" i="3"/>
  <c r="O54" i="3"/>
  <c r="N54" i="3"/>
  <c r="M54" i="3"/>
  <c r="L54" i="3"/>
  <c r="K54" i="3"/>
  <c r="J54" i="3"/>
  <c r="P53" i="3"/>
  <c r="O53" i="3"/>
  <c r="Q53" i="3" s="1"/>
  <c r="R53" i="3" s="1"/>
  <c r="S53" i="3" s="1"/>
  <c r="N53" i="3"/>
  <c r="M53" i="3"/>
  <c r="L53" i="3"/>
  <c r="K53" i="3"/>
  <c r="J53" i="3"/>
  <c r="R52" i="3"/>
  <c r="S52" i="3" s="1"/>
  <c r="P52" i="3"/>
  <c r="O52" i="3"/>
  <c r="Q52" i="3" s="1"/>
  <c r="N52" i="3"/>
  <c r="U52" i="3" s="1"/>
  <c r="M52" i="3"/>
  <c r="L52" i="3"/>
  <c r="K52" i="3"/>
  <c r="J52" i="3"/>
  <c r="T51" i="3"/>
  <c r="P51" i="3"/>
  <c r="O51" i="3"/>
  <c r="N51" i="3"/>
  <c r="M51" i="3"/>
  <c r="L51" i="3"/>
  <c r="K51" i="3"/>
  <c r="J51" i="3"/>
  <c r="T50" i="3"/>
  <c r="P50" i="3"/>
  <c r="O50" i="3"/>
  <c r="N50" i="3"/>
  <c r="M50" i="3"/>
  <c r="L50" i="3"/>
  <c r="K50" i="3"/>
  <c r="J50" i="3"/>
  <c r="P49" i="3"/>
  <c r="O49" i="3"/>
  <c r="Q49" i="3" s="1"/>
  <c r="R49" i="3" s="1"/>
  <c r="S49" i="3" s="1"/>
  <c r="N49" i="3"/>
  <c r="M49" i="3"/>
  <c r="L49" i="3"/>
  <c r="K49" i="3"/>
  <c r="J49" i="3"/>
  <c r="R48" i="3"/>
  <c r="S48" i="3" s="1"/>
  <c r="P48" i="3"/>
  <c r="O48" i="3"/>
  <c r="Q48" i="3" s="1"/>
  <c r="N48" i="3"/>
  <c r="U48" i="3" s="1"/>
  <c r="M48" i="3"/>
  <c r="L48" i="3"/>
  <c r="K48" i="3"/>
  <c r="J48" i="3"/>
  <c r="T47" i="3"/>
  <c r="P47" i="3"/>
  <c r="O47" i="3"/>
  <c r="N47" i="3"/>
  <c r="M47" i="3"/>
  <c r="L47" i="3"/>
  <c r="K47" i="3"/>
  <c r="J47" i="3"/>
  <c r="T46" i="3"/>
  <c r="P46" i="3"/>
  <c r="O46" i="3"/>
  <c r="N46" i="3"/>
  <c r="M46" i="3"/>
  <c r="L46" i="3"/>
  <c r="K46" i="3"/>
  <c r="J46" i="3"/>
  <c r="P45" i="3"/>
  <c r="O45" i="3"/>
  <c r="Q45" i="3" s="1"/>
  <c r="R45" i="3" s="1"/>
  <c r="S45" i="3" s="1"/>
  <c r="N45" i="3"/>
  <c r="M45" i="3"/>
  <c r="L45" i="3"/>
  <c r="K45" i="3"/>
  <c r="J45" i="3"/>
  <c r="R44" i="3"/>
  <c r="S44" i="3" s="1"/>
  <c r="P44" i="3"/>
  <c r="O44" i="3"/>
  <c r="Q44" i="3" s="1"/>
  <c r="N44" i="3"/>
  <c r="U44" i="3" s="1"/>
  <c r="M44" i="3"/>
  <c r="L44" i="3"/>
  <c r="K44" i="3"/>
  <c r="J44" i="3"/>
  <c r="T43" i="3"/>
  <c r="P43" i="3"/>
  <c r="O43" i="3"/>
  <c r="N43" i="3"/>
  <c r="M43" i="3"/>
  <c r="L43" i="3"/>
  <c r="K43" i="3"/>
  <c r="J43" i="3"/>
  <c r="T42" i="3"/>
  <c r="P42" i="3"/>
  <c r="O42" i="3"/>
  <c r="N42" i="3"/>
  <c r="M42" i="3"/>
  <c r="L42" i="3"/>
  <c r="K42" i="3"/>
  <c r="J42" i="3"/>
  <c r="P41" i="3"/>
  <c r="O41" i="3"/>
  <c r="Q41" i="3" s="1"/>
  <c r="R41" i="3" s="1"/>
  <c r="S41" i="3" s="1"/>
  <c r="N41" i="3"/>
  <c r="M41" i="3"/>
  <c r="L41" i="3"/>
  <c r="K41" i="3"/>
  <c r="J41" i="3"/>
  <c r="R40" i="3"/>
  <c r="S40" i="3" s="1"/>
  <c r="P40" i="3"/>
  <c r="O40" i="3"/>
  <c r="Q40" i="3" s="1"/>
  <c r="N40" i="3"/>
  <c r="U40" i="3" s="1"/>
  <c r="M40" i="3"/>
  <c r="L40" i="3"/>
  <c r="K40" i="3"/>
  <c r="J40" i="3"/>
  <c r="T39" i="3"/>
  <c r="P39" i="3"/>
  <c r="O39" i="3"/>
  <c r="N39" i="3"/>
  <c r="M39" i="3"/>
  <c r="L39" i="3"/>
  <c r="K39" i="3"/>
  <c r="J39" i="3"/>
  <c r="T38" i="3"/>
  <c r="P38" i="3"/>
  <c r="O38" i="3"/>
  <c r="N38" i="3"/>
  <c r="M38" i="3"/>
  <c r="L38" i="3"/>
  <c r="K38" i="3"/>
  <c r="J38" i="3"/>
  <c r="P37" i="3"/>
  <c r="O37" i="3"/>
  <c r="Q37" i="3" s="1"/>
  <c r="R37" i="3" s="1"/>
  <c r="S37" i="3" s="1"/>
  <c r="N37" i="3"/>
  <c r="M37" i="3"/>
  <c r="L37" i="3"/>
  <c r="K37" i="3"/>
  <c r="J37" i="3"/>
  <c r="R36" i="3"/>
  <c r="S36" i="3" s="1"/>
  <c r="P36" i="3"/>
  <c r="O36" i="3"/>
  <c r="Q36" i="3" s="1"/>
  <c r="N36" i="3"/>
  <c r="U36" i="3" s="1"/>
  <c r="M36" i="3"/>
  <c r="L36" i="3"/>
  <c r="K36" i="3"/>
  <c r="J36" i="3"/>
  <c r="T35" i="3"/>
  <c r="P35" i="3"/>
  <c r="O35" i="3"/>
  <c r="N35" i="3"/>
  <c r="M35" i="3"/>
  <c r="L35" i="3"/>
  <c r="K35" i="3"/>
  <c r="J35" i="3"/>
  <c r="T34" i="3"/>
  <c r="P34" i="3"/>
  <c r="O34" i="3"/>
  <c r="N34" i="3"/>
  <c r="M34" i="3"/>
  <c r="L34" i="3"/>
  <c r="K34" i="3"/>
  <c r="J34" i="3"/>
  <c r="P33" i="3"/>
  <c r="O33" i="3"/>
  <c r="Q33" i="3" s="1"/>
  <c r="R33" i="3" s="1"/>
  <c r="S33" i="3" s="1"/>
  <c r="N33" i="3"/>
  <c r="M33" i="3"/>
  <c r="L33" i="3"/>
  <c r="K33" i="3"/>
  <c r="J33" i="3"/>
  <c r="R32" i="3"/>
  <c r="S32" i="3" s="1"/>
  <c r="P32" i="3"/>
  <c r="O32" i="3"/>
  <c r="Q32" i="3" s="1"/>
  <c r="N32" i="3"/>
  <c r="U32" i="3" s="1"/>
  <c r="M32" i="3"/>
  <c r="L32" i="3"/>
  <c r="K32" i="3"/>
  <c r="J32" i="3"/>
  <c r="T31" i="3"/>
  <c r="P31" i="3"/>
  <c r="O31" i="3"/>
  <c r="N31" i="3"/>
  <c r="M31" i="3"/>
  <c r="L31" i="3"/>
  <c r="K31" i="3"/>
  <c r="J31" i="3"/>
  <c r="T30" i="3"/>
  <c r="P30" i="3"/>
  <c r="O30" i="3"/>
  <c r="N30" i="3"/>
  <c r="M30" i="3"/>
  <c r="L30" i="3"/>
  <c r="K30" i="3"/>
  <c r="J30" i="3"/>
  <c r="P29" i="3"/>
  <c r="O29" i="3"/>
  <c r="Q29" i="3" s="1"/>
  <c r="R29" i="3" s="1"/>
  <c r="S29" i="3" s="1"/>
  <c r="N29" i="3"/>
  <c r="M29" i="3"/>
  <c r="L29" i="3"/>
  <c r="K29" i="3"/>
  <c r="J29" i="3"/>
  <c r="R28" i="3"/>
  <c r="S28" i="3" s="1"/>
  <c r="P28" i="3"/>
  <c r="O28" i="3"/>
  <c r="Q28" i="3" s="1"/>
  <c r="N28" i="3"/>
  <c r="U28" i="3" s="1"/>
  <c r="M28" i="3"/>
  <c r="L28" i="3"/>
  <c r="K28" i="3"/>
  <c r="J28" i="3"/>
  <c r="T27" i="3"/>
  <c r="P27" i="3"/>
  <c r="O27" i="3"/>
  <c r="N27" i="3"/>
  <c r="M27" i="3"/>
  <c r="L27" i="3"/>
  <c r="K27" i="3"/>
  <c r="J27" i="3"/>
  <c r="T26" i="3"/>
  <c r="P26" i="3"/>
  <c r="O26" i="3"/>
  <c r="N26" i="3"/>
  <c r="M26" i="3"/>
  <c r="L26" i="3"/>
  <c r="K26" i="3"/>
  <c r="J26" i="3"/>
  <c r="P25" i="3"/>
  <c r="O25" i="3"/>
  <c r="Q25" i="3" s="1"/>
  <c r="R25" i="3" s="1"/>
  <c r="S25" i="3" s="1"/>
  <c r="N25" i="3"/>
  <c r="M25" i="3"/>
  <c r="L25" i="3"/>
  <c r="K25" i="3"/>
  <c r="J25" i="3"/>
  <c r="R24" i="3"/>
  <c r="S24" i="3" s="1"/>
  <c r="P24" i="3"/>
  <c r="O24" i="3"/>
  <c r="Q24" i="3" s="1"/>
  <c r="N24" i="3"/>
  <c r="U24" i="3" s="1"/>
  <c r="M24" i="3"/>
  <c r="L24" i="3"/>
  <c r="K24" i="3"/>
  <c r="J24" i="3"/>
  <c r="T23" i="3"/>
  <c r="P23" i="3"/>
  <c r="O23" i="3"/>
  <c r="N23" i="3"/>
  <c r="M23" i="3"/>
  <c r="L23" i="3"/>
  <c r="K23" i="3"/>
  <c r="J23" i="3"/>
  <c r="T22" i="3"/>
  <c r="P22" i="3"/>
  <c r="O22" i="3"/>
  <c r="N22" i="3"/>
  <c r="M22" i="3"/>
  <c r="L22" i="3"/>
  <c r="K22" i="3"/>
  <c r="J22" i="3"/>
  <c r="F9" i="1" s="1"/>
  <c r="P21" i="3"/>
  <c r="O21" i="3"/>
  <c r="T21" i="3" s="1"/>
  <c r="N21" i="3"/>
  <c r="M21" i="3"/>
  <c r="L21" i="3"/>
  <c r="K21" i="3"/>
  <c r="J21" i="3"/>
  <c r="T20" i="3"/>
  <c r="P20" i="3"/>
  <c r="O20" i="3"/>
  <c r="N20" i="3"/>
  <c r="M20" i="3"/>
  <c r="L20" i="3"/>
  <c r="K20" i="3"/>
  <c r="J20" i="3"/>
  <c r="T19" i="3"/>
  <c r="Q19" i="3"/>
  <c r="R19" i="3" s="1"/>
  <c r="S19" i="3" s="1"/>
  <c r="P19" i="3"/>
  <c r="O19" i="3"/>
  <c r="N19" i="3"/>
  <c r="M19" i="3"/>
  <c r="L19" i="3"/>
  <c r="K19" i="3"/>
  <c r="J19" i="3"/>
  <c r="P18" i="3"/>
  <c r="O18" i="3"/>
  <c r="T18" i="3" s="1"/>
  <c r="N18" i="3"/>
  <c r="M18" i="3"/>
  <c r="L18" i="3"/>
  <c r="K18" i="3"/>
  <c r="J18" i="3"/>
  <c r="T17" i="3"/>
  <c r="Q17" i="3"/>
  <c r="R17" i="3" s="1"/>
  <c r="S17" i="3" s="1"/>
  <c r="P17" i="3"/>
  <c r="O17" i="3"/>
  <c r="N17" i="3"/>
  <c r="M17" i="3"/>
  <c r="L17" i="3"/>
  <c r="K17" i="3"/>
  <c r="J17" i="3"/>
  <c r="P16" i="3"/>
  <c r="O16" i="3"/>
  <c r="T16" i="3" s="1"/>
  <c r="N16" i="3"/>
  <c r="M16" i="3"/>
  <c r="L16" i="3"/>
  <c r="K16" i="3"/>
  <c r="J16" i="3"/>
  <c r="T15" i="3"/>
  <c r="Q15" i="3"/>
  <c r="R15" i="3" s="1"/>
  <c r="S15" i="3" s="1"/>
  <c r="P15" i="3"/>
  <c r="O15" i="3"/>
  <c r="N15" i="3"/>
  <c r="M15" i="3"/>
  <c r="L15" i="3"/>
  <c r="K15" i="3"/>
  <c r="J15" i="3"/>
  <c r="P14" i="3"/>
  <c r="O14" i="3"/>
  <c r="T14" i="3" s="1"/>
  <c r="N14" i="3"/>
  <c r="M14" i="3"/>
  <c r="L14" i="3"/>
  <c r="K14" i="3"/>
  <c r="J14" i="3"/>
  <c r="T13" i="3"/>
  <c r="Q13" i="3"/>
  <c r="R13" i="3" s="1"/>
  <c r="S13" i="3" s="1"/>
  <c r="P13" i="3"/>
  <c r="O13" i="3"/>
  <c r="N13" i="3"/>
  <c r="M13" i="3"/>
  <c r="L13" i="3"/>
  <c r="K13" i="3"/>
  <c r="J13" i="3"/>
  <c r="P12" i="3"/>
  <c r="O12" i="3"/>
  <c r="B6" i="2" s="1"/>
  <c r="N12" i="3"/>
  <c r="M12" i="3"/>
  <c r="L12" i="3"/>
  <c r="K12" i="3"/>
  <c r="J12" i="3"/>
  <c r="T11" i="3"/>
  <c r="Q11" i="3"/>
  <c r="R11" i="3" s="1"/>
  <c r="S11" i="3" s="1"/>
  <c r="P11" i="3"/>
  <c r="O11" i="3"/>
  <c r="N11" i="3"/>
  <c r="M11" i="3"/>
  <c r="L11" i="3"/>
  <c r="K11" i="3"/>
  <c r="J11" i="3"/>
  <c r="P10" i="3"/>
  <c r="O10" i="3"/>
  <c r="T10" i="3" s="1"/>
  <c r="N10" i="3"/>
  <c r="M10" i="3"/>
  <c r="L10" i="3"/>
  <c r="K10" i="3"/>
  <c r="J10" i="3"/>
  <c r="T9" i="3"/>
  <c r="Q9" i="3"/>
  <c r="R9" i="3" s="1"/>
  <c r="S9" i="3" s="1"/>
  <c r="P9" i="3"/>
  <c r="O9" i="3"/>
  <c r="N9" i="3"/>
  <c r="M9" i="3"/>
  <c r="L9" i="3"/>
  <c r="K9" i="3"/>
  <c r="J9" i="3"/>
  <c r="P8" i="3"/>
  <c r="O8" i="3"/>
  <c r="H5" i="2" s="1"/>
  <c r="N8" i="3"/>
  <c r="M8" i="3"/>
  <c r="L8" i="3"/>
  <c r="K8" i="3"/>
  <c r="J8" i="3"/>
  <c r="T7" i="3"/>
  <c r="Q7" i="3"/>
  <c r="R7" i="3" s="1"/>
  <c r="S7" i="3" s="1"/>
  <c r="P7" i="3"/>
  <c r="O7" i="3"/>
  <c r="N7" i="3"/>
  <c r="M7" i="3"/>
  <c r="L7" i="3"/>
  <c r="K7" i="3"/>
  <c r="J7" i="3"/>
  <c r="P6" i="3"/>
  <c r="O6" i="3"/>
  <c r="T6" i="3" s="1"/>
  <c r="N6" i="3"/>
  <c r="M6" i="3"/>
  <c r="L6" i="3"/>
  <c r="K6" i="3"/>
  <c r="J6" i="3"/>
  <c r="T5" i="3"/>
  <c r="Q5" i="3"/>
  <c r="R5" i="3" s="1"/>
  <c r="S5" i="3" s="1"/>
  <c r="P5" i="3"/>
  <c r="O5" i="3"/>
  <c r="N5" i="3"/>
  <c r="M5" i="3"/>
  <c r="L5" i="3"/>
  <c r="K5" i="3"/>
  <c r="J5" i="3"/>
  <c r="P4" i="3"/>
  <c r="O4" i="3"/>
  <c r="B8" i="2" s="1"/>
  <c r="N4" i="3"/>
  <c r="M4" i="3"/>
  <c r="L4" i="3"/>
  <c r="K4" i="3"/>
  <c r="J4" i="3"/>
  <c r="H7" i="2"/>
  <c r="C14" i="1"/>
  <c r="F8" i="1"/>
  <c r="F6" i="1"/>
  <c r="C6" i="1"/>
  <c r="F5" i="1"/>
  <c r="C5" i="1"/>
  <c r="U7" i="3" l="1"/>
  <c r="U5" i="3"/>
  <c r="U9" i="3"/>
  <c r="U11" i="3"/>
  <c r="U13" i="3"/>
  <c r="U15" i="3"/>
  <c r="U17" i="3"/>
  <c r="B9" i="2"/>
  <c r="U98" i="3"/>
  <c r="C15" i="1"/>
  <c r="H6" i="2"/>
  <c r="F7" i="1"/>
  <c r="Q4" i="3"/>
  <c r="R4" i="3" s="1"/>
  <c r="Q6" i="3"/>
  <c r="R6" i="3" s="1"/>
  <c r="Q8" i="3"/>
  <c r="Q10" i="3"/>
  <c r="Q12" i="3"/>
  <c r="R12" i="3" s="1"/>
  <c r="Q14" i="3"/>
  <c r="R14" i="3" s="1"/>
  <c r="Q16" i="3"/>
  <c r="R16" i="3" s="1"/>
  <c r="Q18" i="3"/>
  <c r="R18" i="3" s="1"/>
  <c r="U25" i="3"/>
  <c r="U29" i="3"/>
  <c r="U33" i="3"/>
  <c r="U37" i="3"/>
  <c r="U41" i="3"/>
  <c r="U45" i="3"/>
  <c r="U49" i="3"/>
  <c r="U53" i="3"/>
  <c r="U57" i="3"/>
  <c r="U62" i="3"/>
  <c r="Q67" i="3"/>
  <c r="R67" i="3" s="1"/>
  <c r="S67" i="3" s="1"/>
  <c r="Q74" i="3"/>
  <c r="R74" i="3" s="1"/>
  <c r="S74" i="3" s="1"/>
  <c r="U75" i="3"/>
  <c r="Q82" i="3"/>
  <c r="R82" i="3" s="1"/>
  <c r="S82" i="3" s="1"/>
  <c r="U83" i="3"/>
  <c r="Q90" i="3"/>
  <c r="R90" i="3" s="1"/>
  <c r="S90" i="3" s="1"/>
  <c r="U91" i="3"/>
  <c r="Q98" i="3"/>
  <c r="R98" i="3" s="1"/>
  <c r="S98" i="3" s="1"/>
  <c r="U99" i="3"/>
  <c r="B5" i="2"/>
  <c r="B7" i="2"/>
  <c r="U19" i="3"/>
  <c r="T60" i="3"/>
  <c r="U76" i="3"/>
  <c r="Q21" i="3"/>
  <c r="U22" i="3"/>
  <c r="U50" i="3"/>
  <c r="U54" i="3"/>
  <c r="U58" i="3"/>
  <c r="Q63" i="3"/>
  <c r="R63" i="3" s="1"/>
  <c r="S63" i="3" s="1"/>
  <c r="T66" i="3"/>
  <c r="Q68" i="3"/>
  <c r="R68" i="3" s="1"/>
  <c r="S68" i="3" s="1"/>
  <c r="U69" i="3"/>
  <c r="Q76" i="3"/>
  <c r="R76" i="3" s="1"/>
  <c r="S76" i="3" s="1"/>
  <c r="U77" i="3"/>
  <c r="Q84" i="3"/>
  <c r="R84" i="3" s="1"/>
  <c r="S84" i="3" s="1"/>
  <c r="U85" i="3"/>
  <c r="U93" i="3"/>
  <c r="T4" i="3"/>
  <c r="T8" i="3"/>
  <c r="T12" i="3"/>
  <c r="Q22" i="3"/>
  <c r="R22" i="3" s="1"/>
  <c r="S22" i="3" s="1"/>
  <c r="T24" i="3"/>
  <c r="Q26" i="3"/>
  <c r="R26" i="3" s="1"/>
  <c r="S26" i="3" s="1"/>
  <c r="T28" i="3"/>
  <c r="Q30" i="3"/>
  <c r="R30" i="3" s="1"/>
  <c r="S30" i="3" s="1"/>
  <c r="T32" i="3"/>
  <c r="Q34" i="3"/>
  <c r="R34" i="3" s="1"/>
  <c r="S34" i="3" s="1"/>
  <c r="T36" i="3"/>
  <c r="Q38" i="3"/>
  <c r="R38" i="3" s="1"/>
  <c r="S38" i="3" s="1"/>
  <c r="T40" i="3"/>
  <c r="Q42" i="3"/>
  <c r="R42" i="3" s="1"/>
  <c r="S42" i="3" s="1"/>
  <c r="T44" i="3"/>
  <c r="Q46" i="3"/>
  <c r="R46" i="3" s="1"/>
  <c r="S46" i="3" s="1"/>
  <c r="T48" i="3"/>
  <c r="Q50" i="3"/>
  <c r="R50" i="3" s="1"/>
  <c r="S50" i="3" s="1"/>
  <c r="T52" i="3"/>
  <c r="Q54" i="3"/>
  <c r="R54" i="3" s="1"/>
  <c r="S54" i="3" s="1"/>
  <c r="T56" i="3"/>
  <c r="U59" i="3"/>
  <c r="U64" i="3"/>
  <c r="U86" i="3"/>
  <c r="T90" i="3"/>
  <c r="Q93" i="3"/>
  <c r="R93" i="3" s="1"/>
  <c r="S93" i="3" s="1"/>
  <c r="U94" i="3"/>
  <c r="T98" i="3"/>
  <c r="Q101" i="3"/>
  <c r="R101" i="3" s="1"/>
  <c r="S101" i="3" s="1"/>
  <c r="U102" i="3"/>
  <c r="U27" i="3"/>
  <c r="U43" i="3"/>
  <c r="U47" i="3"/>
  <c r="U51" i="3"/>
  <c r="Q59" i="3"/>
  <c r="R59" i="3" s="1"/>
  <c r="S59" i="3" s="1"/>
  <c r="T62" i="3"/>
  <c r="Q64" i="3"/>
  <c r="R64" i="3" s="1"/>
  <c r="S64" i="3" s="1"/>
  <c r="U65" i="3"/>
  <c r="Q70" i="3"/>
  <c r="R70" i="3" s="1"/>
  <c r="S70" i="3" s="1"/>
  <c r="U71" i="3"/>
  <c r="Q78" i="3"/>
  <c r="R78" i="3" s="1"/>
  <c r="S78" i="3" s="1"/>
  <c r="U87" i="3"/>
  <c r="C13" i="1"/>
  <c r="Q20" i="3"/>
  <c r="R20" i="3" s="1"/>
  <c r="S20" i="3" s="1"/>
  <c r="Q23" i="3"/>
  <c r="R23" i="3" s="1"/>
  <c r="S23" i="3" s="1"/>
  <c r="T25" i="3"/>
  <c r="Q27" i="3"/>
  <c r="R27" i="3" s="1"/>
  <c r="S27" i="3" s="1"/>
  <c r="T29" i="3"/>
  <c r="Q31" i="3"/>
  <c r="T33" i="3"/>
  <c r="Q35" i="3"/>
  <c r="R35" i="3" s="1"/>
  <c r="S35" i="3" s="1"/>
  <c r="T37" i="3"/>
  <c r="Q39" i="3"/>
  <c r="R39" i="3" s="1"/>
  <c r="S39" i="3" s="1"/>
  <c r="T41" i="3"/>
  <c r="Q43" i="3"/>
  <c r="R43" i="3" s="1"/>
  <c r="S43" i="3" s="1"/>
  <c r="T45" i="3"/>
  <c r="Q47" i="3"/>
  <c r="R47" i="3" s="1"/>
  <c r="S47" i="3" s="1"/>
  <c r="T49" i="3"/>
  <c r="Q51" i="3"/>
  <c r="R51" i="3" s="1"/>
  <c r="S51" i="3" s="1"/>
  <c r="T53" i="3"/>
  <c r="Q55" i="3"/>
  <c r="R55" i="3" s="1"/>
  <c r="S55" i="3" s="1"/>
  <c r="T57" i="3"/>
  <c r="U60" i="3"/>
  <c r="Q65" i="3"/>
  <c r="R65" i="3" s="1"/>
  <c r="S65" i="3" s="1"/>
  <c r="Q71" i="3"/>
  <c r="R71" i="3" s="1"/>
  <c r="S71" i="3" s="1"/>
  <c r="T76" i="3"/>
  <c r="Q79" i="3"/>
  <c r="R79" i="3" s="1"/>
  <c r="S79" i="3" s="1"/>
  <c r="U80" i="3"/>
  <c r="T84" i="3"/>
  <c r="Q87" i="3"/>
  <c r="R87" i="3" s="1"/>
  <c r="S87" i="3" s="1"/>
  <c r="T92" i="3"/>
  <c r="Q95" i="3"/>
  <c r="R95" i="3" s="1"/>
  <c r="S95" i="3" s="1"/>
  <c r="T100" i="3"/>
  <c r="U66" i="3"/>
  <c r="Q72" i="3"/>
  <c r="R72" i="3" s="1"/>
  <c r="S72" i="3" s="1"/>
  <c r="U73" i="3"/>
  <c r="Q80" i="3"/>
  <c r="R80" i="3" s="1"/>
  <c r="S80" i="3" s="1"/>
  <c r="U81" i="3"/>
  <c r="Q88" i="3"/>
  <c r="R88" i="3" s="1"/>
  <c r="S88" i="3" s="1"/>
  <c r="U89" i="3"/>
  <c r="Q96" i="3"/>
  <c r="R96" i="3" s="1"/>
  <c r="S96" i="3" s="1"/>
  <c r="U97" i="3"/>
  <c r="Q103" i="3"/>
  <c r="R103" i="3" s="1"/>
  <c r="S103" i="3" s="1"/>
  <c r="U26" i="3" l="1"/>
  <c r="E5" i="2"/>
  <c r="R10" i="3"/>
  <c r="E8" i="2"/>
  <c r="R31" i="3"/>
  <c r="U95" i="3"/>
  <c r="U46" i="3"/>
  <c r="U84" i="3"/>
  <c r="R8" i="3"/>
  <c r="E6" i="2"/>
  <c r="U90" i="3"/>
  <c r="U14" i="3"/>
  <c r="S14" i="3"/>
  <c r="U96" i="3"/>
  <c r="U39" i="3"/>
  <c r="U72" i="3"/>
  <c r="U35" i="3"/>
  <c r="U88" i="3"/>
  <c r="U42" i="3"/>
  <c r="U6" i="3"/>
  <c r="S6" i="3"/>
  <c r="U82" i="3"/>
  <c r="U103" i="3"/>
  <c r="F10" i="1"/>
  <c r="R21" i="3"/>
  <c r="U79" i="3"/>
  <c r="U55" i="3"/>
  <c r="U23" i="3"/>
  <c r="U78" i="3"/>
  <c r="U38" i="3"/>
  <c r="U68" i="3"/>
  <c r="U4" i="3"/>
  <c r="S4" i="3"/>
  <c r="U74" i="3"/>
  <c r="U101" i="3"/>
  <c r="U34" i="3"/>
  <c r="U63" i="3"/>
  <c r="U18" i="3"/>
  <c r="S18" i="3"/>
  <c r="E9" i="2"/>
  <c r="U67" i="3"/>
  <c r="U70" i="3"/>
  <c r="U30" i="3"/>
  <c r="U16" i="3"/>
  <c r="S16" i="3"/>
  <c r="U12" i="3"/>
  <c r="S12" i="3"/>
  <c r="U20" i="3"/>
  <c r="E7" i="2"/>
  <c r="S31" i="3" l="1"/>
  <c r="U31" i="3"/>
  <c r="K5" i="2"/>
  <c r="K6" i="2"/>
  <c r="C16" i="1"/>
  <c r="U10" i="3"/>
  <c r="S10" i="3"/>
  <c r="S21" i="3"/>
  <c r="U21" i="3"/>
  <c r="U8" i="3"/>
  <c r="K7" i="2" s="1"/>
  <c r="S8" i="3"/>
  <c r="C12" i="1" s="1"/>
</calcChain>
</file>

<file path=xl/sharedStrings.xml><?xml version="1.0" encoding="utf-8"?>
<sst xmlns="http://schemas.openxmlformats.org/spreadsheetml/2006/main" count="718" uniqueCount="252">
  <si>
    <t>NicaExport Trading, S.A. - Resumen Ejecutivo</t>
  </si>
  <si>
    <t>Nº</t>
  </si>
  <si>
    <t>Pregunta empresarial</t>
  </si>
  <si>
    <t>Respuesta</t>
  </si>
  <si>
    <t>Función condicional solicitada</t>
  </si>
  <si>
    <t>Resultado</t>
  </si>
  <si>
    <t>¿Cuántas operaciones internacionales se realizaron?</t>
  </si>
  <si>
    <t>Operaciones hacia EE.UU.</t>
  </si>
  <si>
    <t>¿Cuántas operaciones están pendientes?</t>
  </si>
  <si>
    <t>Operaciones pendientes</t>
  </si>
  <si>
    <t>¿Cuál es el país con mayor cantidad de operaciones?</t>
  </si>
  <si>
    <t>Valor FOB hacia México</t>
  </si>
  <si>
    <t>¿Cuál es el país que genera mayor valor FOB?</t>
  </si>
  <si>
    <t>Unidades hacia Guatemala</t>
  </si>
  <si>
    <t>¿Cuál es el producto más exportado por unidades?</t>
  </si>
  <si>
    <t>Valor FOB de Café especial a EE.UU.</t>
  </si>
  <si>
    <t>¿Cuál es el producto que genera mayor utilidad?</t>
  </si>
  <si>
    <t>Utilidad entregada en Centroamérica</t>
  </si>
  <si>
    <t>¿Cuál es el mercado con mayor margen promedio?</t>
  </si>
  <si>
    <t>¿Cuántas operaciones tienen rentabilidad alta?</t>
  </si>
  <si>
    <t>Datos académicos</t>
  </si>
  <si>
    <t>¿Cuánto se exportó hacia Centroamérica?</t>
  </si>
  <si>
    <t>Estudiante</t>
  </si>
  <si>
    <t>Octavio José Arana Sánchez</t>
  </si>
  <si>
    <t>¿Cuánto se exportó hacia Norteamérica?</t>
  </si>
  <si>
    <t>Carné</t>
  </si>
  <si>
    <t>24011742</t>
  </si>
  <si>
    <t>¿Cuánto se exportó hacia Europa?</t>
  </si>
  <si>
    <t>Docente</t>
  </si>
  <si>
    <t>César David Marín López</t>
  </si>
  <si>
    <t>¿Qué operaciones tienen prioridad comercial alta?</t>
  </si>
  <si>
    <t>Asignatura</t>
  </si>
  <si>
    <t>Tecnologías de Gestión de Información</t>
  </si>
  <si>
    <t>¿Qué clientes generan mayor valor de exportación?</t>
  </si>
  <si>
    <t>Grupo</t>
  </si>
  <si>
    <t>7</t>
  </si>
  <si>
    <t>¿Qué operaciones requieren atención por estar pendientes?</t>
  </si>
  <si>
    <t>Conclusiones</t>
  </si>
  <si>
    <t>Hallazgo 1</t>
  </si>
  <si>
    <t>EE.UU. lidera el valor FOB con US$168,745, equivalente al 25.6% del total.</t>
  </si>
  <si>
    <t>Hallazgo 2</t>
  </si>
  <si>
    <t>Café especial lidera valor FOB y utilidad, con US$170,170 y US$62,832.</t>
  </si>
  <si>
    <t>Hallazgo 3</t>
  </si>
  <si>
    <t>Norteamérica concentra US$289,058, el 43.9% del valor FOB total.</t>
  </si>
  <si>
    <t>Hallazgo 4</t>
  </si>
  <si>
    <t>La cartera mantiene un margen ponderado de 32.5%. Maní procesado registra el margen más bajo, 28.1%.</t>
  </si>
  <si>
    <t>Hallazgo 5</t>
  </si>
  <si>
    <t>Quince operaciones pendientes suman riesgo operativo y requieren seguimiento por fecha y cliente.</t>
  </si>
  <si>
    <t>Recomendaciones</t>
  </si>
  <si>
    <t>Recomendación 1</t>
  </si>
  <si>
    <t>Concentrar la promoción de Café especial en EE.UU., mercado que ya aporta US$168,745 y mantiene el mayor margen por país.</t>
  </si>
  <si>
    <t>Recomendación 2</t>
  </si>
  <si>
    <t>Corregir las 15 operaciones pendientes mediante seguimiento semanal con responsables y fechas de cierre.</t>
  </si>
  <si>
    <t>Recomendación 3</t>
  </si>
  <si>
    <t>Revisar precio, costos y posicionamiento de Maní procesado, cuyo margen de 28.1% queda por debajo del resto de los productos.</t>
  </si>
  <si>
    <t>EX004, EX012, EX019, EX025, EX032, EX039, EX046, EX052, EX059, EX065, EX072, EX079, EX085, EX089 y EX096</t>
  </si>
  <si>
    <t>Tablas dinámicas y gráficos analíticos</t>
  </si>
  <si>
    <t>Resúmenes formulares vinculados a Operaciones; se actualizan al cambiar los datos.</t>
  </si>
  <si>
    <t>País</t>
  </si>
  <si>
    <t>Valor FOB</t>
  </si>
  <si>
    <t>Producto</t>
  </si>
  <si>
    <t>Utilidad</t>
  </si>
  <si>
    <t>Región</t>
  </si>
  <si>
    <t>Prioridad</t>
  </si>
  <si>
    <t>Operaciones</t>
  </si>
  <si>
    <t>EE.UU.</t>
  </si>
  <si>
    <t>Café especial</t>
  </si>
  <si>
    <t>Norteamérica</t>
  </si>
  <si>
    <t>Alta</t>
  </si>
  <si>
    <t>España</t>
  </si>
  <si>
    <t>Aceite de ajonjolí</t>
  </si>
  <si>
    <t>Centroamérica</t>
  </si>
  <si>
    <t>Media</t>
  </si>
  <si>
    <t>México</t>
  </si>
  <si>
    <t>Miel natural</t>
  </si>
  <si>
    <t>Europa</t>
  </si>
  <si>
    <t>Baja</t>
  </si>
  <si>
    <t>Guatemala</t>
  </si>
  <si>
    <t>Cacao en grano</t>
  </si>
  <si>
    <t>Costa Rica</t>
  </si>
  <si>
    <t>Maní procesado</t>
  </si>
  <si>
    <t>Interpretación de gráficos</t>
  </si>
  <si>
    <t>EE.UU. encabeza el valor FOB. Los cinco países tienen el mismo número de operaciones, pero difieren en valor.</t>
  </si>
  <si>
    <t>Café especial genera la mayor utilidad; Maní procesado registra la menor entre los cinco productos.</t>
  </si>
  <si>
    <t>Norteamérica aporta US$289,058 y supera a Centroamérica y Europa.</t>
  </si>
  <si>
    <t>NicaExport Trading, S.A. - Análisis de operaciones</t>
  </si>
  <si>
    <t>Datos base y cálculos empresariales. Las columnas J:N utilizan BUSCARV contra los catálogos.</t>
  </si>
  <si>
    <t>ID_Operación</t>
  </si>
  <si>
    <t>Fecha</t>
  </si>
  <si>
    <t>Cliente</t>
  </si>
  <si>
    <t>Código Producto</t>
  </si>
  <si>
    <t>País Destino</t>
  </si>
  <si>
    <t>Unidades</t>
  </si>
  <si>
    <t>Precio FOB</t>
  </si>
  <si>
    <t>Costo Unitario</t>
  </si>
  <si>
    <t>Estado</t>
  </si>
  <si>
    <t>Categoría</t>
  </si>
  <si>
    <t>Arancel %</t>
  </si>
  <si>
    <t>Clasificación mercado</t>
  </si>
  <si>
    <t>Costo total</t>
  </si>
  <si>
    <t>Margen</t>
  </si>
  <si>
    <t>Nivel rentabilidad</t>
  </si>
  <si>
    <t>Nivel operación</t>
  </si>
  <si>
    <t>Prioridad comercial</t>
  </si>
  <si>
    <t>EX001</t>
  </si>
  <si>
    <t>Comercial Maya</t>
  </si>
  <si>
    <t>P003</t>
  </si>
  <si>
    <t>Embarcado</t>
  </si>
  <si>
    <t>EX002</t>
  </si>
  <si>
    <t>Global Foods</t>
  </si>
  <si>
    <t>P001</t>
  </si>
  <si>
    <t>Entregado</t>
  </si>
  <si>
    <t>EX003</t>
  </si>
  <si>
    <t>Distribuidora Tica</t>
  </si>
  <si>
    <t>P004</t>
  </si>
  <si>
    <t>EX004</t>
  </si>
  <si>
    <t>Iberia Foods</t>
  </si>
  <si>
    <t>P002</t>
  </si>
  <si>
    <t>Pendiente</t>
  </si>
  <si>
    <t>EX005</t>
  </si>
  <si>
    <t>Comercial Azteca</t>
  </si>
  <si>
    <t>P005</t>
  </si>
  <si>
    <t>EX006</t>
  </si>
  <si>
    <t>EX007</t>
  </si>
  <si>
    <t>EX008</t>
  </si>
  <si>
    <t>EX009</t>
  </si>
  <si>
    <t>EX010</t>
  </si>
  <si>
    <t>EX011</t>
  </si>
  <si>
    <t>EX012</t>
  </si>
  <si>
    <t>EX013</t>
  </si>
  <si>
    <t>EX014</t>
  </si>
  <si>
    <t>EX015</t>
  </si>
  <si>
    <t>EX016</t>
  </si>
  <si>
    <t>EX017</t>
  </si>
  <si>
    <t>EX018</t>
  </si>
  <si>
    <t>EX019</t>
  </si>
  <si>
    <t>EX020</t>
  </si>
  <si>
    <t>EX021</t>
  </si>
  <si>
    <t>EX022</t>
  </si>
  <si>
    <t>EX023</t>
  </si>
  <si>
    <t>EX024</t>
  </si>
  <si>
    <t>EX025</t>
  </si>
  <si>
    <t>EX026</t>
  </si>
  <si>
    <t>EX027</t>
  </si>
  <si>
    <t>EX028</t>
  </si>
  <si>
    <t>EX029</t>
  </si>
  <si>
    <t>EX030</t>
  </si>
  <si>
    <t>EX031</t>
  </si>
  <si>
    <t>EX032</t>
  </si>
  <si>
    <t>EX033</t>
  </si>
  <si>
    <t>EX034</t>
  </si>
  <si>
    <t>EX035</t>
  </si>
  <si>
    <t>EX036</t>
  </si>
  <si>
    <t>EX037</t>
  </si>
  <si>
    <t>EX038</t>
  </si>
  <si>
    <t>EX039</t>
  </si>
  <si>
    <t>EX040</t>
  </si>
  <si>
    <t>EX041</t>
  </si>
  <si>
    <t>EX042</t>
  </si>
  <si>
    <t>EX043</t>
  </si>
  <si>
    <t>EX044</t>
  </si>
  <si>
    <t>EX045</t>
  </si>
  <si>
    <t>EX046</t>
  </si>
  <si>
    <t>EX047</t>
  </si>
  <si>
    <t>EX048</t>
  </si>
  <si>
    <t>EX049</t>
  </si>
  <si>
    <t>EX050</t>
  </si>
  <si>
    <t>EX051</t>
  </si>
  <si>
    <t>EX052</t>
  </si>
  <si>
    <t>EX053</t>
  </si>
  <si>
    <t>EX054</t>
  </si>
  <si>
    <t>EX055</t>
  </si>
  <si>
    <t>EX056</t>
  </si>
  <si>
    <t>EX057</t>
  </si>
  <si>
    <t>EX058</t>
  </si>
  <si>
    <t>EX059</t>
  </si>
  <si>
    <t>EX060</t>
  </si>
  <si>
    <t>EX061</t>
  </si>
  <si>
    <t>EX062</t>
  </si>
  <si>
    <t>EX063</t>
  </si>
  <si>
    <t>EX064</t>
  </si>
  <si>
    <t>EX065</t>
  </si>
  <si>
    <t>EX066</t>
  </si>
  <si>
    <t>EX067</t>
  </si>
  <si>
    <t>EX068</t>
  </si>
  <si>
    <t>EX069</t>
  </si>
  <si>
    <t>EX070</t>
  </si>
  <si>
    <t>EX071</t>
  </si>
  <si>
    <t>EX072</t>
  </si>
  <si>
    <t>EX073</t>
  </si>
  <si>
    <t>EX074</t>
  </si>
  <si>
    <t>EX075</t>
  </si>
  <si>
    <t>EX076</t>
  </si>
  <si>
    <t>EX077</t>
  </si>
  <si>
    <t>EX078</t>
  </si>
  <si>
    <t>EX079</t>
  </si>
  <si>
    <t>EX080</t>
  </si>
  <si>
    <t>EX081</t>
  </si>
  <si>
    <t>EX082</t>
  </si>
  <si>
    <t>EX083</t>
  </si>
  <si>
    <t>EX084</t>
  </si>
  <si>
    <t>EX085</t>
  </si>
  <si>
    <t>EX086</t>
  </si>
  <si>
    <t>EX087</t>
  </si>
  <si>
    <t>EX088</t>
  </si>
  <si>
    <t>EX089</t>
  </si>
  <si>
    <t>EX090</t>
  </si>
  <si>
    <t>EX091</t>
  </si>
  <si>
    <t>EX092</t>
  </si>
  <si>
    <t>EX093</t>
  </si>
  <si>
    <t>EX094</t>
  </si>
  <si>
    <t>EX095</t>
  </si>
  <si>
    <t>EX096</t>
  </si>
  <si>
    <t>EX097</t>
  </si>
  <si>
    <t>EX098</t>
  </si>
  <si>
    <t>EX099</t>
  </si>
  <si>
    <t>EX100</t>
  </si>
  <si>
    <t>Fuente: Caso de Estudio NicaExport Trading, S.A. y archivo de operaciones suministrado por la asignatura.</t>
  </si>
  <si>
    <t>Catálogo de productos</t>
  </si>
  <si>
    <t>Código</t>
  </si>
  <si>
    <t>Unidad de Medida</t>
  </si>
  <si>
    <t>Café</t>
  </si>
  <si>
    <t>Kg</t>
  </si>
  <si>
    <t>Cacao</t>
  </si>
  <si>
    <t>Apícola</t>
  </si>
  <si>
    <t>Semillas</t>
  </si>
  <si>
    <t>Aceites</t>
  </si>
  <si>
    <t>Litro</t>
  </si>
  <si>
    <t>Catálogo de mercados</t>
  </si>
  <si>
    <t>Clasificación</t>
  </si>
  <si>
    <t>Estratégico</t>
  </si>
  <si>
    <t>Potencial</t>
  </si>
  <si>
    <t>El Salvador</t>
  </si>
  <si>
    <t>Tablas dinámicas del análisis de comercio internacional</t>
  </si>
  <si>
    <t>Etiquetas de fila</t>
  </si>
  <si>
    <t>Total general</t>
  </si>
  <si>
    <t>Suma de Valor FOB</t>
  </si>
  <si>
    <t>Utilidad total</t>
  </si>
  <si>
    <t>Valor FOB total</t>
  </si>
  <si>
    <t>Cantidad de operaciones</t>
  </si>
  <si>
    <t>Margen promedio</t>
  </si>
  <si>
    <t>Resultados del análisis de 100 operaciones registradas durante el año 2026</t>
  </si>
  <si>
    <t>Funciones requeridas en la guía</t>
  </si>
  <si>
    <t>CONTAR.SI - Operaciones hacia EE.UU.</t>
  </si>
  <si>
    <t>1. Valor FOB por país</t>
  </si>
  <si>
    <t>2. Utilidad por producto</t>
  </si>
  <si>
    <t>3. Valor FOB por región</t>
  </si>
  <si>
    <t>4. Operaciones por prioridad</t>
  </si>
  <si>
    <t>SUMAR.SI - Valor FOB hacia México</t>
  </si>
  <si>
    <t>SUMAR.SI.CONJUNTO - Café especial a EE.UU.</t>
  </si>
  <si>
    <t>Observación de la base</t>
  </si>
  <si>
    <t>La fuente contiene operaciones de enero a diciembre de 2026 y no registra operaciones de El Salvador; se preservó la base sin inventar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</si>
</sst>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dd/mm/yyyy"/>
    <numFmt numFmtId="166" formatCode="&quot;US$&quot;#,##0.00"/>
  </numFmts>
  <fonts count="14">
    <font>
      <sz val="11"/>
      <name val="Carlito"/>
    </font>
    <font>
      <sz val="10"/>
      <color rgb="FF1F2937"/>
      <name val="Arial"/>
      <family val="2"/>
    </font>
    <font>
      <b/>
      <sz val="15"/>
      <color rgb="FF17365D"/>
      <name val="Arial"/>
      <family val="2"/>
    </font>
    <font>
      <b/>
      <sz val="10"/>
      <color rgb="FFFFFFFF"/>
      <name val="Arial"/>
      <family val="2"/>
    </font>
    <font>
      <i/>
      <sz val="10"/>
      <color rgb="FF4B5563"/>
      <name val="Arial"/>
      <family val="2"/>
    </font>
    <font>
      <i/>
      <sz val="9"/>
      <color rgb="FF6B7280"/>
      <name val="Arial"/>
      <family val="2"/>
    </font>
    <font>
      <b/>
      <sz val="10"/>
      <color rgb="FF17365D"/>
      <name val="Arial"/>
      <family val="2"/>
    </font>
    <font>
      <b/>
      <sz val="14"/>
      <color rgb="FFFFFFFF"/>
      <name val="Arial"/>
    </font>
    <font>
      <sz val="10"/>
      <color rgb="FF1F2937"/>
      <name val="Arial"/>
    </font>
    <font>
      <i/>
      <sz val="10"/>
      <color rgb="FF1F2937"/>
      <name val="Arial"/>
    </font>
    <font>
      <b/>
      <sz val="10"/>
      <color rgb="FF000000"/>
      <name val="Arial"/>
    </font>
    <font>
      <b/>
      <sz val="10"/>
      <color rgb="FFFFFFFF"/>
      <name val="Arial"/>
    </font>
    <font>
      <b/>
      <sz val="10"/>
      <color rgb="FF7F6000"/>
      <name val="Arial"/>
    </font>
    <font>
      <b/>
      <sz val="11"/>
      <color rgb="FFFFFFFF"/>
      <name val="Arial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7F9F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</fills>
  <borders count="4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/>
      <right style="thin">
        <color rgb="FFBDD7EE"/>
      </right>
      <top/>
      <bottom style="thin">
        <color rgb="FFBDD7EE"/>
      </bottom>
      <diagonal/>
    </border>
    <border>
      <left style="thin">
        <color rgb="FFBDD7EE"/>
      </left>
      <right/>
      <top/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/>
      <top style="thin">
        <color rgb="FFBDD7EE"/>
      </top>
      <bottom/>
      <diagonal/>
    </border>
    <border>
      <left/>
      <right style="thin">
        <color rgb="FFC6E0B4"/>
      </right>
      <top/>
      <bottom style="thin">
        <color rgb="FFC6E0B4"/>
      </bottom>
      <diagonal/>
    </border>
    <border>
      <left style="thin">
        <color rgb="FFC6E0B4"/>
      </left>
      <right style="thin">
        <color rgb="FFC6E0B4"/>
      </right>
      <top/>
      <bottom style="thin">
        <color rgb="FFC6E0B4"/>
      </bottom>
      <diagonal/>
    </border>
    <border>
      <left style="thin">
        <color rgb="FFC6E0B4"/>
      </left>
      <right/>
      <top/>
      <bottom style="thin">
        <color rgb="FFC6E0B4"/>
      </bottom>
      <diagonal/>
    </border>
    <border>
      <left/>
      <right style="thin">
        <color rgb="FFC6E0B4"/>
      </right>
      <top style="thin">
        <color rgb="FFC6E0B4"/>
      </top>
      <bottom style="thin">
        <color rgb="FFC6E0B4"/>
      </bottom>
      <diagonal/>
    </border>
    <border>
      <left style="thin">
        <color rgb="FFC6E0B4"/>
      </left>
      <right style="thin">
        <color rgb="FFC6E0B4"/>
      </right>
      <top style="thin">
        <color rgb="FFC6E0B4"/>
      </top>
      <bottom style="thin">
        <color rgb="FFC6E0B4"/>
      </bottom>
      <diagonal/>
    </border>
    <border>
      <left style="thin">
        <color rgb="FFC6E0B4"/>
      </left>
      <right/>
      <top style="thin">
        <color rgb="FFC6E0B4"/>
      </top>
      <bottom style="thin">
        <color rgb="FFC6E0B4"/>
      </bottom>
      <diagonal/>
    </border>
    <border>
      <left/>
      <right style="thin">
        <color rgb="FFC6E0B4"/>
      </right>
      <top style="thin">
        <color rgb="FFC6E0B4"/>
      </top>
      <bottom/>
      <diagonal/>
    </border>
    <border>
      <left style="thin">
        <color rgb="FFC6E0B4"/>
      </left>
      <right style="thin">
        <color rgb="FFC6E0B4"/>
      </right>
      <top style="thin">
        <color rgb="FFC6E0B4"/>
      </top>
      <bottom/>
      <diagonal/>
    </border>
    <border>
      <left style="thin">
        <color rgb="FFC6E0B4"/>
      </left>
      <right/>
      <top style="thin">
        <color rgb="FFC6E0B4"/>
      </top>
      <bottom/>
      <diagonal/>
    </border>
    <border>
      <left style="thin">
        <color rgb="FFF4B084"/>
      </left>
      <right/>
      <top style="thin">
        <color rgb="FFF4B084"/>
      </top>
      <bottom style="thin">
        <color rgb="FFF4B084"/>
      </bottom>
      <diagonal/>
    </border>
    <border>
      <left/>
      <right/>
      <top style="thin">
        <color rgb="FFF4B084"/>
      </top>
      <bottom style="thin">
        <color rgb="FFF4B084"/>
      </bottom>
      <diagonal/>
    </border>
    <border>
      <left/>
      <right style="thin">
        <color rgb="FFF4B084"/>
      </right>
      <top style="thin">
        <color rgb="FFF4B084"/>
      </top>
      <bottom style="thin">
        <color rgb="FFF4B084"/>
      </bottom>
      <diagonal/>
    </border>
    <border>
      <left style="thin">
        <color rgb="FFBDD7EE"/>
      </left>
      <right style="thin">
        <color rgb="FFBDD7EE"/>
      </right>
      <top/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/>
      <diagonal/>
    </border>
    <border>
      <left/>
      <right/>
      <top/>
      <bottom style="thick">
        <color rgb="FF1F4E78"/>
      </bottom>
      <diagonal/>
    </border>
    <border>
      <left/>
      <right/>
      <top/>
      <bottom style="thin">
        <color rgb="FF7F8C8D"/>
      </bottom>
      <diagonal/>
    </border>
    <border>
      <left/>
      <right style="thin">
        <color rgb="FFFFFFFF"/>
      </right>
      <top/>
      <bottom style="thin">
        <color rgb="FF7F8C8D"/>
      </bottom>
      <diagonal/>
    </border>
    <border>
      <left style="thin">
        <color rgb="FFFFFFFF"/>
      </left>
      <right/>
      <top/>
      <bottom style="thin">
        <color rgb="FF7F8C8D"/>
      </bottom>
      <diagonal/>
    </border>
    <border>
      <left/>
      <right/>
      <top/>
      <bottom style="medium">
        <color rgb="FF2F5597"/>
      </bottom>
      <diagonal/>
    </border>
    <border>
      <left style="thin">
        <color rgb="FFE5E7EB"/>
      </left>
      <right style="thin">
        <color rgb="FFE5E7EB"/>
      </right>
      <top/>
      <bottom/>
      <diagonal/>
    </border>
    <border>
      <left style="thin">
        <color rgb="FFE5E7EB"/>
      </left>
      <right/>
      <top/>
      <bottom/>
      <diagonal/>
    </border>
    <border>
      <left style="thin">
        <color rgb="FFE5E7EB"/>
      </left>
      <right/>
      <top style="thin">
        <color rgb="FFBF9000"/>
      </top>
      <bottom style="thin">
        <color rgb="FFBF9000"/>
      </bottom>
      <diagonal/>
    </border>
    <border>
      <left style="thin">
        <color rgb="FFE5E7EB"/>
      </left>
      <right style="thin">
        <color rgb="FFE5E7EB"/>
      </right>
      <top style="thin">
        <color rgb="FFBF9000"/>
      </top>
      <bottom style="thin">
        <color rgb="FFBF9000"/>
      </bottom>
      <diagonal/>
    </border>
    <border>
      <left/>
      <right/>
      <top style="thin">
        <color rgb="FFBF9000"/>
      </top>
      <bottom style="thin">
        <color rgb="FFBF900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164" fontId="1" fillId="3" borderId="5" xfId="0" applyNumberFormat="1" applyFont="1" applyFill="1" applyBorder="1" applyAlignment="1">
      <alignment vertical="center"/>
    </xf>
    <xf numFmtId="164" fontId="1" fillId="3" borderId="8" xfId="0" applyNumberFormat="1" applyFont="1" applyFill="1" applyBorder="1" applyAlignment="1">
      <alignment vertical="center"/>
    </xf>
    <xf numFmtId="164" fontId="1" fillId="3" borderId="11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65" fontId="1" fillId="3" borderId="5" xfId="0" applyNumberFormat="1" applyFont="1" applyFill="1" applyBorder="1" applyAlignment="1">
      <alignment vertical="center"/>
    </xf>
    <xf numFmtId="165" fontId="1" fillId="3" borderId="8" xfId="0" applyNumberFormat="1" applyFont="1" applyFill="1" applyBorder="1" applyAlignment="1">
      <alignment vertical="center"/>
    </xf>
    <xf numFmtId="165" fontId="1" fillId="3" borderId="11" xfId="0" applyNumberFormat="1" applyFont="1" applyFill="1" applyBorder="1" applyAlignment="1">
      <alignment vertical="center"/>
    </xf>
    <xf numFmtId="3" fontId="1" fillId="3" borderId="5" xfId="0" applyNumberFormat="1" applyFont="1" applyFill="1" applyBorder="1" applyAlignment="1">
      <alignment vertical="center"/>
    </xf>
    <xf numFmtId="3" fontId="1" fillId="3" borderId="8" xfId="0" applyNumberFormat="1" applyFont="1" applyFill="1" applyBorder="1" applyAlignment="1">
      <alignment vertical="center"/>
    </xf>
    <xf numFmtId="3" fontId="1" fillId="3" borderId="11" xfId="0" applyNumberFormat="1" applyFont="1" applyFill="1" applyBorder="1" applyAlignment="1">
      <alignment vertical="center"/>
    </xf>
    <xf numFmtId="166" fontId="1" fillId="3" borderId="5" xfId="0" applyNumberFormat="1" applyFont="1" applyFill="1" applyBorder="1" applyAlignment="1">
      <alignment vertical="center"/>
    </xf>
    <xf numFmtId="166" fontId="1" fillId="3" borderId="8" xfId="0" applyNumberFormat="1" applyFont="1" applyFill="1" applyBorder="1" applyAlignment="1">
      <alignment vertical="center"/>
    </xf>
    <xf numFmtId="166" fontId="1" fillId="3" borderId="11" xfId="0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3" fillId="4" borderId="0" xfId="0" applyFont="1" applyFill="1" applyAlignment="1">
      <alignment vertical="center"/>
    </xf>
    <xf numFmtId="0" fontId="1" fillId="5" borderId="14" xfId="0" applyFont="1" applyFill="1" applyBorder="1" applyAlignment="1">
      <alignment vertical="center" wrapText="1"/>
    </xf>
    <xf numFmtId="0" fontId="1" fillId="5" borderId="16" xfId="0" applyFont="1" applyFill="1" applyBorder="1" applyAlignment="1">
      <alignment vertical="center" wrapText="1"/>
    </xf>
    <xf numFmtId="0" fontId="1" fillId="5" borderId="18" xfId="0" applyFont="1" applyFill="1" applyBorder="1" applyAlignment="1">
      <alignment vertical="center" wrapText="1"/>
    </xf>
    <xf numFmtId="0" fontId="6" fillId="5" borderId="13" xfId="0" applyFont="1" applyFill="1" applyBorder="1" applyAlignment="1">
      <alignment vertical="center" wrapText="1"/>
    </xf>
    <xf numFmtId="0" fontId="6" fillId="5" borderId="15" xfId="0" applyFont="1" applyFill="1" applyBorder="1" applyAlignment="1">
      <alignment vertical="center" wrapText="1"/>
    </xf>
    <xf numFmtId="0" fontId="6" fillId="5" borderId="17" xfId="0" applyFont="1" applyFill="1" applyBorder="1" applyAlignment="1">
      <alignment vertical="center" wrapText="1"/>
    </xf>
    <xf numFmtId="166" fontId="1" fillId="3" borderId="9" xfId="0" applyNumberFormat="1" applyFont="1" applyFill="1" applyBorder="1" applyAlignment="1">
      <alignment vertical="center"/>
    </xf>
    <xf numFmtId="3" fontId="1" fillId="3" borderId="6" xfId="0" applyNumberFormat="1" applyFont="1" applyFill="1" applyBorder="1" applyAlignment="1">
      <alignment vertical="center"/>
    </xf>
    <xf numFmtId="3" fontId="1" fillId="3" borderId="9" xfId="0" applyNumberFormat="1" applyFont="1" applyFill="1" applyBorder="1" applyAlignment="1">
      <alignment vertical="center"/>
    </xf>
    <xf numFmtId="166" fontId="1" fillId="3" borderId="12" xfId="0" applyNumberFormat="1" applyFont="1" applyFill="1" applyBorder="1" applyAlignment="1">
      <alignment vertical="center"/>
    </xf>
    <xf numFmtId="0" fontId="1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166" fontId="1" fillId="3" borderId="9" xfId="0" applyNumberFormat="1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6" fillId="3" borderId="7" xfId="0" applyFont="1" applyFill="1" applyBorder="1" applyAlignment="1">
      <alignment vertical="center" wrapText="1"/>
    </xf>
    <xf numFmtId="0" fontId="6" fillId="3" borderId="10" xfId="0" applyFont="1" applyFill="1" applyBorder="1" applyAlignment="1">
      <alignment vertical="center" wrapText="1"/>
    </xf>
    <xf numFmtId="0" fontId="6" fillId="6" borderId="19" xfId="0" applyFont="1" applyFill="1" applyBorder="1" applyAlignment="1">
      <alignment vertical="center" wrapText="1"/>
    </xf>
    <xf numFmtId="0" fontId="6" fillId="6" borderId="22" xfId="0" applyFont="1" applyFill="1" applyBorder="1" applyAlignment="1">
      <alignment vertical="center" wrapText="1"/>
    </xf>
    <xf numFmtId="0" fontId="6" fillId="6" borderId="25" xfId="0" applyFont="1" applyFill="1" applyBorder="1" applyAlignment="1">
      <alignment vertical="center" wrapText="1"/>
    </xf>
    <xf numFmtId="166" fontId="1" fillId="3" borderId="6" xfId="0" applyNumberFormat="1" applyFont="1" applyFill="1" applyBorder="1" applyAlignment="1">
      <alignment vertical="center"/>
    </xf>
    <xf numFmtId="0" fontId="1" fillId="3" borderId="5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0" fontId="1" fillId="6" borderId="20" xfId="0" applyFont="1" applyFill="1" applyBorder="1" applyAlignment="1">
      <alignment vertical="center" wrapText="1"/>
    </xf>
    <xf numFmtId="0" fontId="1" fillId="6" borderId="21" xfId="0" applyFont="1" applyFill="1" applyBorder="1" applyAlignment="1">
      <alignment vertical="center" wrapText="1"/>
    </xf>
    <xf numFmtId="0" fontId="1" fillId="6" borderId="23" xfId="0" applyFont="1" applyFill="1" applyBorder="1" applyAlignment="1">
      <alignment vertical="center" wrapText="1"/>
    </xf>
    <xf numFmtId="0" fontId="1" fillId="6" borderId="24" xfId="0" applyFont="1" applyFill="1" applyBorder="1" applyAlignment="1">
      <alignment vertical="center" wrapText="1"/>
    </xf>
    <xf numFmtId="0" fontId="1" fillId="6" borderId="26" xfId="0" applyFont="1" applyFill="1" applyBorder="1" applyAlignment="1">
      <alignment vertical="center" wrapText="1"/>
    </xf>
    <xf numFmtId="0" fontId="1" fillId="6" borderId="27" xfId="0" applyFont="1" applyFill="1" applyBorder="1" applyAlignment="1">
      <alignment vertical="center" wrapText="1"/>
    </xf>
    <xf numFmtId="0" fontId="1" fillId="7" borderId="28" xfId="0" applyFont="1" applyFill="1" applyBorder="1" applyAlignment="1">
      <alignment vertical="center" wrapText="1"/>
    </xf>
    <xf numFmtId="0" fontId="1" fillId="7" borderId="29" xfId="0" applyFont="1" applyFill="1" applyBorder="1" applyAlignment="1">
      <alignment vertical="center" wrapText="1"/>
    </xf>
    <xf numFmtId="0" fontId="1" fillId="7" borderId="30" xfId="0" applyFont="1" applyFill="1" applyBorder="1" applyAlignment="1">
      <alignment vertical="center" wrapText="1"/>
    </xf>
    <xf numFmtId="0" fontId="1" fillId="5" borderId="31" xfId="0" applyFont="1" applyFill="1" applyBorder="1" applyAlignment="1">
      <alignment vertical="center" wrapText="1"/>
    </xf>
    <xf numFmtId="0" fontId="1" fillId="5" borderId="14" xfId="0" applyFont="1" applyFill="1" applyBorder="1" applyAlignment="1">
      <alignment vertical="center" wrapText="1"/>
    </xf>
    <xf numFmtId="0" fontId="1" fillId="5" borderId="32" xfId="0" applyFont="1" applyFill="1" applyBorder="1" applyAlignment="1">
      <alignment vertical="center" wrapText="1"/>
    </xf>
    <xf numFmtId="0" fontId="1" fillId="5" borderId="16" xfId="0" applyFont="1" applyFill="1" applyBorder="1" applyAlignment="1">
      <alignment vertical="center" wrapText="1"/>
    </xf>
    <xf numFmtId="0" fontId="1" fillId="5" borderId="33" xfId="0" applyFont="1" applyFill="1" applyBorder="1" applyAlignment="1">
      <alignment vertical="center" wrapText="1"/>
    </xf>
    <xf numFmtId="0" fontId="1" fillId="5" borderId="18" xfId="0" applyFont="1" applyFill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applyNumberFormat="1"/>
    <xf numFmtId="0" fontId="7" fillId="8" borderId="34" xfId="0" applyNumberFormat="1" applyFont="1" applyFill="1" applyBorder="1" applyAlignment="1">
      <alignment horizontal="left"/>
    </xf>
    <xf numFmtId="0" fontId="9" fillId="9" borderId="0" xfId="0" applyNumberFormat="1" applyFont="1" applyFill="1" applyAlignment="1">
      <alignment horizontal="left"/>
    </xf>
    <xf numFmtId="0" fontId="10" fillId="10" borderId="36" xfId="0" applyNumberFormat="1" applyFont="1" applyFill="1" applyBorder="1" applyAlignment="1">
      <alignment horizontal="center" vertical="center"/>
    </xf>
    <xf numFmtId="0" fontId="10" fillId="10" borderId="37" xfId="0" applyNumberFormat="1" applyFont="1" applyFill="1" applyBorder="1" applyAlignment="1">
      <alignment horizontal="center" vertical="center"/>
    </xf>
    <xf numFmtId="0" fontId="10" fillId="10" borderId="35" xfId="0" applyNumberFormat="1" applyFont="1" applyFill="1" applyBorder="1" applyAlignment="1">
      <alignment horizontal="center" vertical="center"/>
    </xf>
    <xf numFmtId="164" fontId="8" fillId="11" borderId="0" xfId="0" applyNumberFormat="1" applyFont="1" applyFill="1" applyAlignment="1">
      <alignment horizontal="right" vertical="center"/>
    </xf>
    <xf numFmtId="3" fontId="8" fillId="11" borderId="0" xfId="0" applyNumberFormat="1" applyFont="1" applyFill="1" applyAlignment="1">
      <alignment horizontal="right" vertical="center"/>
    </xf>
    <xf numFmtId="166" fontId="8" fillId="11" borderId="0" xfId="0" applyNumberFormat="1" applyFont="1" applyFill="1" applyAlignment="1">
      <alignment horizontal="right" vertical="center"/>
    </xf>
    <xf numFmtId="0" fontId="11" fillId="12" borderId="38" xfId="0" applyNumberFormat="1" applyFont="1" applyFill="1" applyBorder="1" applyAlignment="1">
      <alignment horizontal="center" vertical="center"/>
    </xf>
    <xf numFmtId="166" fontId="8" fillId="11" borderId="6" xfId="0" applyNumberFormat="1" applyFont="1" applyFill="1" applyBorder="1" applyAlignment="1">
      <alignment horizontal="right" vertical="center" wrapText="1"/>
    </xf>
    <xf numFmtId="166" fontId="8" fillId="11" borderId="9" xfId="0" applyNumberFormat="1" applyFont="1" applyFill="1" applyBorder="1" applyAlignment="1">
      <alignment horizontal="right" vertical="center" wrapText="1"/>
    </xf>
    <xf numFmtId="0" fontId="1" fillId="3" borderId="39" xfId="0" applyFont="1" applyFill="1" applyBorder="1" applyAlignment="1">
      <alignment vertical="center" wrapText="1"/>
    </xf>
    <xf numFmtId="0" fontId="1" fillId="3" borderId="40" xfId="0" applyFont="1" applyFill="1" applyBorder="1" applyAlignment="1">
      <alignment vertical="center" wrapText="1"/>
    </xf>
    <xf numFmtId="0" fontId="12" fillId="13" borderId="42" xfId="0" applyNumberFormat="1" applyFont="1" applyFill="1" applyBorder="1" applyAlignment="1">
      <alignment horizontal="left" vertical="center" wrapText="1"/>
    </xf>
    <xf numFmtId="0" fontId="12" fillId="13" borderId="41" xfId="0" applyNumberFormat="1" applyFont="1" applyFill="1" applyBorder="1" applyAlignment="1">
      <alignment horizontal="left" vertical="center" wrapText="1"/>
    </xf>
    <xf numFmtId="0" fontId="13" fillId="12" borderId="0" xfId="0" applyNumberFormat="1" applyFont="1" applyFill="1" applyAlignment="1">
      <alignment horizontal="left"/>
    </xf>
    <xf numFmtId="0" fontId="12" fillId="13" borderId="43" xfId="0" applyNumberFormat="1" applyFont="1" applyFill="1" applyBorder="1" applyAlignment="1">
      <alignment horizontal="left" vertical="center"/>
    </xf>
    <xf numFmtId="0" fontId="12" fillId="13" borderId="43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s-NI"/>
              <a:t>Valor FOB por país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/>
          <a:endParaRPr lang="es-N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Valor FOB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cat>
            <c:strRef>
              <c:f>'Tablas y gráficos'!$A$5:$A$9</c:f>
              <c:strCache>
                <c:ptCount val="5"/>
                <c:pt idx="0">
                  <c:v>EE.UU.</c:v>
                </c:pt>
                <c:pt idx="1">
                  <c:v>España</c:v>
                </c:pt>
                <c:pt idx="2">
                  <c:v>México</c:v>
                </c:pt>
                <c:pt idx="3">
                  <c:v>Guatemala</c:v>
                </c:pt>
                <c:pt idx="4">
                  <c:v>Costa Rica</c:v>
                </c:pt>
              </c:strCache>
            </c:strRef>
          </c:cat>
          <c:val>
            <c:numRef>
              <c:f>'Tablas y gráficos'!$B$5:$B$9</c:f>
              <c:numCache>
                <c:formatCode>"US$"#,##0.00</c:formatCode>
                <c:ptCount val="5"/>
                <c:pt idx="0">
                  <c:v>168745</c:v>
                </c:pt>
                <c:pt idx="1">
                  <c:v>136328</c:v>
                </c:pt>
                <c:pt idx="2">
                  <c:v>120313</c:v>
                </c:pt>
                <c:pt idx="3">
                  <c:v>119335</c:v>
                </c:pt>
                <c:pt idx="4">
                  <c:v>113544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CB-4214-8F98-CD5AAE1C9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US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s-NI"/>
              <a:t>Utilidad por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/>
          <a:endParaRPr lang="es-N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Utilidad</c:v>
          </c:tx>
          <c:spPr>
            <a:gradFill>
              <a:gsLst>
                <a:gs pos="0">
                  <a:schemeClr val="accent1">
                    <a:tint val="94000"/>
                    <a:lumMod val="102000"/>
                    <a:satMod val="103000"/>
                  </a:schemeClr>
                </a:gs>
                <a:gs pos="50000">
                  <a:schemeClr val="accent1">
                    <a:shade val="100000"/>
                    <a:lumMod val="100000"/>
                    <a:satMod val="110000"/>
                  </a:schemeClr>
                </a:gs>
                <a:gs pos="100000">
                  <a:schemeClr val="accent1">
                    <a:shade val="78000"/>
                    <a:lumMod val="99000"/>
                    <a:satMod val="12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invertIfNegative val="1"/>
          <c:cat>
            <c:strRef>
              <c:f>'Tablas y gráficos'!$D$5:$D$9</c:f>
              <c:strCache>
                <c:ptCount val="5"/>
                <c:pt idx="0">
                  <c:v>Café especial</c:v>
                </c:pt>
                <c:pt idx="1">
                  <c:v>Aceite de ajonjolí</c:v>
                </c:pt>
                <c:pt idx="2">
                  <c:v>Miel natural</c:v>
                </c:pt>
                <c:pt idx="3">
                  <c:v>Cacao en grano</c:v>
                </c:pt>
                <c:pt idx="4">
                  <c:v>Maní procesado</c:v>
                </c:pt>
              </c:strCache>
            </c:strRef>
          </c:cat>
          <c:val>
            <c:numRef>
              <c:f>'Tablas y gráficos'!$E$5:$E$9</c:f>
              <c:numCache>
                <c:formatCode>"US$"#,##0.00</c:formatCode>
                <c:ptCount val="5"/>
                <c:pt idx="0">
                  <c:v>62832</c:v>
                </c:pt>
                <c:pt idx="1">
                  <c:v>42218</c:v>
                </c:pt>
                <c:pt idx="2">
                  <c:v>38688</c:v>
                </c:pt>
                <c:pt idx="3">
                  <c:v>36800</c:v>
                </c:pt>
                <c:pt idx="4">
                  <c:v>33533.999999999993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6C-4D79-B677-8E2CE4EB4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&quot;US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s-NI"/>
              <a:t>Valor FOB por región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/>
          <a:endParaRPr lang="es-N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Valor FOB</c:v>
          </c:tx>
          <c:spPr>
            <a:gradFill>
              <a:gsLst>
                <a:gs pos="0">
                  <a:schemeClr val="accent1">
                    <a:tint val="94000"/>
                    <a:lumMod val="102000"/>
                    <a:satMod val="103000"/>
                  </a:schemeClr>
                </a:gs>
                <a:gs pos="50000">
                  <a:schemeClr val="accent1">
                    <a:shade val="100000"/>
                    <a:lumMod val="100000"/>
                    <a:satMod val="110000"/>
                  </a:schemeClr>
                </a:gs>
                <a:gs pos="100000">
                  <a:schemeClr val="accent1">
                    <a:shade val="78000"/>
                    <a:lumMod val="99000"/>
                    <a:satMod val="120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1"/>
          <c:cat>
            <c:strRef>
              <c:f>'Tablas y gráficos'!$G$5:$G$7</c:f>
              <c:strCache>
                <c:ptCount val="3"/>
                <c:pt idx="0">
                  <c:v>Norteamérica</c:v>
                </c:pt>
                <c:pt idx="1">
                  <c:v>Centroamérica</c:v>
                </c:pt>
                <c:pt idx="2">
                  <c:v>Europa</c:v>
                </c:pt>
              </c:strCache>
            </c:strRef>
          </c:cat>
          <c:val>
            <c:numRef>
              <c:f>'Tablas y gráficos'!$H$5:$H$7</c:f>
              <c:numCache>
                <c:formatCode>"US$"#,##0.00</c:formatCode>
                <c:ptCount val="3"/>
                <c:pt idx="0">
                  <c:v>289058</c:v>
                </c:pt>
                <c:pt idx="1">
                  <c:v>232879</c:v>
                </c:pt>
                <c:pt idx="2">
                  <c:v>136328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A1-4902-843C-2A49273C5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US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6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11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6</xdr:col>
      <xdr:colOff>0</xdr:colOff>
      <xdr:row>44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LL" refreshedDate="46276.474050231482" createdVersion="8" refreshedVersion="8" minRefreshableVersion="3" recordCount="100" xr:uid="{0A8903F3-DCDF-4097-8CD7-EF09802D8FB0}">
  <cacheSource type="worksheet">
    <worksheetSource ref="A3:U103" sheet="Operaciones"/>
  </cacheSource>
  <cacheFields count="21">
    <cacheField name="ID_Operación" numFmtId="0">
      <sharedItems/>
    </cacheField>
    <cacheField name="Fecha" numFmtId="165">
      <sharedItems containsSemiMixedTypes="0" containsNonDate="0" containsDate="1" containsString="0" minDate="2026-01-04T00:00:00" maxDate="2026-12-31T00:00:00"/>
    </cacheField>
    <cacheField name="Cliente" numFmtId="0">
      <sharedItems/>
    </cacheField>
    <cacheField name="Código Producto" numFmtId="0">
      <sharedItems/>
    </cacheField>
    <cacheField name="País Destino" numFmtId="0">
      <sharedItems count="5">
        <s v="Guatemala"/>
        <s v="EE.UU."/>
        <s v="Costa Rica"/>
        <s v="España"/>
        <s v="México"/>
      </sharedItems>
    </cacheField>
    <cacheField name="Unidades" numFmtId="3">
      <sharedItems containsSemiMixedTypes="0" containsString="0" containsNumber="1" containsInteger="1" minValue="450" maxValue="1550"/>
    </cacheField>
    <cacheField name="Precio FOB" numFmtId="166">
      <sharedItems containsSemiMixedTypes="0" containsString="0" containsNumber="1" minValue="4.8" maxValue="12.5"/>
    </cacheField>
    <cacheField name="Costo Unitario" numFmtId="166">
      <sharedItems containsSemiMixedTypes="0" containsString="0" containsNumber="1" minValue="3.2" maxValue="8.6999999999999993"/>
    </cacheField>
    <cacheField name="Estado" numFmtId="0">
      <sharedItems/>
    </cacheField>
    <cacheField name="Producto" numFmtId="0">
      <sharedItems count="5">
        <s v="Miel natural"/>
        <s v="Café especial"/>
        <s v="Maní procesado"/>
        <s v="Cacao en grano"/>
        <s v="Aceite de ajonjolí"/>
      </sharedItems>
    </cacheField>
    <cacheField name="Categoría" numFmtId="0">
      <sharedItems/>
    </cacheField>
    <cacheField name="Región" numFmtId="0">
      <sharedItems count="3">
        <s v="Centroamérica"/>
        <s v="Norteamérica"/>
        <s v="Europa"/>
      </sharedItems>
    </cacheField>
    <cacheField name="Arancel %" numFmtId="164">
      <sharedItems containsSemiMixedTypes="0" containsString="0" containsNumber="1" minValue="0.02" maxValue="0.1"/>
    </cacheField>
    <cacheField name="Clasificación mercado" numFmtId="0">
      <sharedItems/>
    </cacheField>
    <cacheField name="Valor FOB" numFmtId="166">
      <sharedItems containsSemiMixedTypes="0" containsString="0" containsNumber="1" minValue="2976" maxValue="10659.999999999998"/>
    </cacheField>
    <cacheField name="Costo total" numFmtId="166">
      <sharedItems containsSemiMixedTypes="0" containsString="0" containsNumber="1" minValue="1984" maxValue="7670.0000000000009"/>
    </cacheField>
    <cacheField name="Utilidad" numFmtId="166">
      <sharedItems containsSemiMixedTypes="0" containsString="0" containsNumber="1" minValue="992" maxValue="3600.0000000000009"/>
    </cacheField>
    <cacheField name="Margen" numFmtId="164">
      <sharedItems containsSemiMixedTypes="0" containsString="0" containsNumber="1" minValue="0.28048780487804859" maxValue="0.36923076923076936"/>
    </cacheField>
    <cacheField name="Nivel rentabilidad" numFmtId="0">
      <sharedItems/>
    </cacheField>
    <cacheField name="Nivel operación" numFmtId="0">
      <sharedItems/>
    </cacheField>
    <cacheField name="Prioridad comercial" numFmtId="0">
      <sharedItems count="3">
        <s v="Alta"/>
        <s v="Media"/>
        <s v="Baj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EX001"/>
    <d v="2026-01-05T00:00:00"/>
    <s v="Comercial Maya"/>
    <s v="P003"/>
    <x v="0"/>
    <n v="850"/>
    <n v="4.8"/>
    <n v="3.2"/>
    <s v="Embarcado"/>
    <x v="0"/>
    <s v="Apícola"/>
    <x v="0"/>
    <n v="0.03"/>
    <s v="Estratégico"/>
    <n v="4080"/>
    <n v="2720"/>
    <n v="1360"/>
    <n v="0.33333333333333331"/>
    <s v="Alta"/>
    <s v="Pequeña"/>
    <x v="0"/>
  </r>
  <r>
    <s v="EX002"/>
    <d v="2026-01-12T00:00:00"/>
    <s v="Global Foods"/>
    <s v="P001"/>
    <x v="1"/>
    <n v="1200"/>
    <n v="6.5"/>
    <n v="4.0999999999999996"/>
    <s v="Entregado"/>
    <x v="1"/>
    <s v="Café"/>
    <x v="1"/>
    <n v="0.05"/>
    <s v="Estratégico"/>
    <n v="7800"/>
    <n v="4920"/>
    <n v="2880"/>
    <n v="0.36923076923076925"/>
    <s v="Alta"/>
    <s v="Mediana"/>
    <x v="0"/>
  </r>
  <r>
    <s v="EX003"/>
    <d v="2026-01-20T00:00:00"/>
    <s v="Distribuidora Tica"/>
    <s v="P004"/>
    <x v="2"/>
    <n v="650"/>
    <n v="8.1999999999999993"/>
    <n v="5.9"/>
    <s v="Embarcado"/>
    <x v="2"/>
    <s v="Semillas"/>
    <x v="0"/>
    <n v="0.02"/>
    <s v="Estratégico"/>
    <n v="5329.9999999999991"/>
    <n v="3835.0000000000005"/>
    <n v="1494.9999999999986"/>
    <n v="0.28048780487804859"/>
    <s v="Media"/>
    <s v="Mediana"/>
    <x v="1"/>
  </r>
  <r>
    <s v="EX004"/>
    <d v="2026-02-03T00:00:00"/>
    <s v="Iberia Foods"/>
    <s v="P002"/>
    <x v="3"/>
    <n v="950"/>
    <n v="7.1"/>
    <n v="4.8"/>
    <s v="Pendiente"/>
    <x v="3"/>
    <s v="Cacao"/>
    <x v="2"/>
    <n v="0.1"/>
    <s v="Potencial"/>
    <n v="6745"/>
    <n v="4560"/>
    <n v="2185"/>
    <n v="0.323943661971831"/>
    <s v="Alta"/>
    <s v="Mediana"/>
    <x v="1"/>
  </r>
  <r>
    <s v="EX005"/>
    <d v="2026-02-15T00:00:00"/>
    <s v="Comercial Azteca"/>
    <s v="P005"/>
    <x v="4"/>
    <n v="500"/>
    <n v="12.5"/>
    <n v="8.6999999999999993"/>
    <s v="Entregado"/>
    <x v="4"/>
    <s v="Aceites"/>
    <x v="1"/>
    <n v="0.08"/>
    <s v="Potencial"/>
    <n v="6250"/>
    <n v="4350"/>
    <n v="1900"/>
    <n v="0.30399999999999999"/>
    <s v="Alta"/>
    <s v="Mediana"/>
    <x v="1"/>
  </r>
  <r>
    <s v="EX006"/>
    <d v="2026-02-28T00:00:00"/>
    <s v="Global Foods"/>
    <s v="P003"/>
    <x v="1"/>
    <n v="1400"/>
    <n v="4.8"/>
    <n v="3.2"/>
    <s v="Entregado"/>
    <x v="0"/>
    <s v="Apícola"/>
    <x v="1"/>
    <n v="0.05"/>
    <s v="Estratégico"/>
    <n v="6720"/>
    <n v="4480"/>
    <n v="2240"/>
    <n v="0.33333333333333331"/>
    <s v="Alta"/>
    <s v="Mediana"/>
    <x v="0"/>
  </r>
  <r>
    <s v="EX007"/>
    <d v="2026-03-08T00:00:00"/>
    <s v="Distribuidora Tica"/>
    <s v="P001"/>
    <x v="2"/>
    <n v="900"/>
    <n v="6.5"/>
    <n v="4.0999999999999996"/>
    <s v="Embarcado"/>
    <x v="1"/>
    <s v="Café"/>
    <x v="0"/>
    <n v="0.02"/>
    <s v="Estratégico"/>
    <n v="5850"/>
    <n v="3689.9999999999995"/>
    <n v="2160.0000000000005"/>
    <n v="0.36923076923076931"/>
    <s v="Alta"/>
    <s v="Mediana"/>
    <x v="0"/>
  </r>
  <r>
    <s v="EX008"/>
    <d v="2026-03-18T00:00:00"/>
    <s v="Comercial Maya"/>
    <s v="P004"/>
    <x v="0"/>
    <n v="750"/>
    <n v="8.1999999999999993"/>
    <n v="5.9"/>
    <s v="Entregado"/>
    <x v="2"/>
    <s v="Semillas"/>
    <x v="0"/>
    <n v="0.03"/>
    <s v="Estratégico"/>
    <n v="6149.9999999999991"/>
    <n v="4425"/>
    <n v="1724.9999999999991"/>
    <n v="0.2804878048780487"/>
    <s v="Media"/>
    <s v="Mediana"/>
    <x v="1"/>
  </r>
  <r>
    <s v="EX009"/>
    <d v="2026-03-25T00:00:00"/>
    <s v="Iberia Foods"/>
    <s v="P005"/>
    <x v="3"/>
    <n v="600"/>
    <n v="12.5"/>
    <n v="8.6999999999999993"/>
    <s v="Embarcado"/>
    <x v="4"/>
    <s v="Aceites"/>
    <x v="2"/>
    <n v="0.1"/>
    <s v="Potencial"/>
    <n v="7500"/>
    <n v="5220"/>
    <n v="2280"/>
    <n v="0.30399999999999999"/>
    <s v="Alta"/>
    <s v="Mediana"/>
    <x v="1"/>
  </r>
  <r>
    <s v="EX010"/>
    <d v="2026-04-02T00:00:00"/>
    <s v="Comercial Azteca"/>
    <s v="P002"/>
    <x v="4"/>
    <n v="1100"/>
    <n v="7.1"/>
    <n v="4.8"/>
    <s v="Entregado"/>
    <x v="3"/>
    <s v="Cacao"/>
    <x v="1"/>
    <n v="0.08"/>
    <s v="Potencial"/>
    <n v="7810"/>
    <n v="5280"/>
    <n v="2530"/>
    <n v="0.323943661971831"/>
    <s v="Alta"/>
    <s v="Mediana"/>
    <x v="1"/>
  </r>
  <r>
    <s v="EX011"/>
    <d v="2026-04-10T00:00:00"/>
    <s v="Global Foods"/>
    <s v="P004"/>
    <x v="1"/>
    <n v="1300"/>
    <n v="8.1999999999999993"/>
    <n v="5.9"/>
    <s v="Entregado"/>
    <x v="2"/>
    <s v="Semillas"/>
    <x v="1"/>
    <n v="0.05"/>
    <s v="Estratégico"/>
    <n v="10659.999999999998"/>
    <n v="7670.0000000000009"/>
    <n v="2989.9999999999973"/>
    <n v="0.28048780487804859"/>
    <s v="Media"/>
    <s v="Grande"/>
    <x v="1"/>
  </r>
  <r>
    <s v="EX012"/>
    <d v="2026-04-18T00:00:00"/>
    <s v="Comercial Maya"/>
    <s v="P001"/>
    <x v="0"/>
    <n v="700"/>
    <n v="6.5"/>
    <n v="4.0999999999999996"/>
    <s v="Pendiente"/>
    <x v="1"/>
    <s v="Café"/>
    <x v="0"/>
    <n v="0.03"/>
    <s v="Estratégico"/>
    <n v="4550"/>
    <n v="2869.9999999999995"/>
    <n v="1680.0000000000005"/>
    <n v="0.36923076923076931"/>
    <s v="Alta"/>
    <s v="Pequeña"/>
    <x v="0"/>
  </r>
  <r>
    <s v="EX013"/>
    <d v="2026-04-27T00:00:00"/>
    <s v="Distribuidora Tica"/>
    <s v="P005"/>
    <x v="2"/>
    <n v="450"/>
    <n v="12.5"/>
    <n v="8.6999999999999993"/>
    <s v="Embarcado"/>
    <x v="4"/>
    <s v="Aceites"/>
    <x v="0"/>
    <n v="0.02"/>
    <s v="Estratégico"/>
    <n v="5625"/>
    <n v="3914.9999999999995"/>
    <n v="1710.0000000000005"/>
    <n v="0.3040000000000001"/>
    <s v="Alta"/>
    <s v="Mediana"/>
    <x v="0"/>
  </r>
  <r>
    <s v="EX014"/>
    <d v="2026-05-05T00:00:00"/>
    <s v="Iberia Foods"/>
    <s v="P003"/>
    <x v="3"/>
    <n v="1000"/>
    <n v="4.8"/>
    <n v="3.2"/>
    <s v="Entregado"/>
    <x v="0"/>
    <s v="Apícola"/>
    <x v="2"/>
    <n v="0.1"/>
    <s v="Potencial"/>
    <n v="4800"/>
    <n v="3200"/>
    <n v="1600"/>
    <n v="0.33333333333333331"/>
    <s v="Alta"/>
    <s v="Pequeña"/>
    <x v="1"/>
  </r>
  <r>
    <s v="EX015"/>
    <d v="2026-05-14T00:00:00"/>
    <s v="Comercial Azteca"/>
    <s v="P001"/>
    <x v="4"/>
    <n v="850"/>
    <n v="6.5"/>
    <n v="4.0999999999999996"/>
    <s v="Embarcado"/>
    <x v="1"/>
    <s v="Café"/>
    <x v="1"/>
    <n v="0.08"/>
    <s v="Potencial"/>
    <n v="5525"/>
    <n v="3484.9999999999995"/>
    <n v="2040.0000000000005"/>
    <n v="0.36923076923076931"/>
    <s v="Alta"/>
    <s v="Mediana"/>
    <x v="1"/>
  </r>
  <r>
    <s v="EX016"/>
    <d v="2026-05-22T00:00:00"/>
    <s v="Global Foods"/>
    <s v="P002"/>
    <x v="1"/>
    <n v="1250"/>
    <n v="7.1"/>
    <n v="4.8"/>
    <s v="Entregado"/>
    <x v="3"/>
    <s v="Cacao"/>
    <x v="1"/>
    <n v="0.05"/>
    <s v="Estratégico"/>
    <n v="8875"/>
    <n v="6000"/>
    <n v="2875"/>
    <n v="0.323943661971831"/>
    <s v="Alta"/>
    <s v="Mediana"/>
    <x v="0"/>
  </r>
  <r>
    <s v="EX017"/>
    <d v="2026-05-30T00:00:00"/>
    <s v="Comercial Maya"/>
    <s v="P005"/>
    <x v="0"/>
    <n v="550"/>
    <n v="12.5"/>
    <n v="8.6999999999999993"/>
    <s v="Embarcado"/>
    <x v="4"/>
    <s v="Aceites"/>
    <x v="0"/>
    <n v="0.03"/>
    <s v="Estratégico"/>
    <n v="6875"/>
    <n v="4785"/>
    <n v="2090"/>
    <n v="0.30399999999999999"/>
    <s v="Alta"/>
    <s v="Mediana"/>
    <x v="0"/>
  </r>
  <r>
    <s v="EX018"/>
    <d v="2026-06-07T00:00:00"/>
    <s v="Distribuidora Tica"/>
    <s v="P003"/>
    <x v="2"/>
    <n v="800"/>
    <n v="4.8"/>
    <n v="3.2"/>
    <s v="Entregado"/>
    <x v="0"/>
    <s v="Apícola"/>
    <x v="0"/>
    <n v="0.02"/>
    <s v="Estratégico"/>
    <n v="3840"/>
    <n v="2560"/>
    <n v="1280"/>
    <n v="0.33333333333333331"/>
    <s v="Alta"/>
    <s v="Pequeña"/>
    <x v="0"/>
  </r>
  <r>
    <s v="EX019"/>
    <d v="2026-06-16T00:00:00"/>
    <s v="Iberia Foods"/>
    <s v="P004"/>
    <x v="3"/>
    <n v="900"/>
    <n v="8.1999999999999993"/>
    <n v="5.9"/>
    <s v="Pendiente"/>
    <x v="2"/>
    <s v="Semillas"/>
    <x v="2"/>
    <n v="0.1"/>
    <s v="Potencial"/>
    <n v="7379.9999999999991"/>
    <n v="5310"/>
    <n v="2069.9999999999991"/>
    <n v="0.2804878048780487"/>
    <s v="Media"/>
    <s v="Mediana"/>
    <x v="2"/>
  </r>
  <r>
    <s v="EX020"/>
    <d v="2026-06-25T00:00:00"/>
    <s v="Comercial Azteca"/>
    <s v="P005"/>
    <x v="4"/>
    <n v="650"/>
    <n v="12.5"/>
    <n v="8.6999999999999993"/>
    <s v="Entregado"/>
    <x v="4"/>
    <s v="Aceites"/>
    <x v="1"/>
    <n v="0.08"/>
    <s v="Potencial"/>
    <n v="8125"/>
    <n v="5654.9999999999991"/>
    <n v="2470.0000000000009"/>
    <n v="0.3040000000000001"/>
    <s v="Alta"/>
    <s v="Mediana"/>
    <x v="1"/>
  </r>
  <r>
    <s v="EX021"/>
    <d v="2026-07-03T00:00:00"/>
    <s v="Global Foods"/>
    <s v="P001"/>
    <x v="1"/>
    <n v="1500"/>
    <n v="6.5"/>
    <n v="4.0999999999999996"/>
    <s v="Embarcado"/>
    <x v="1"/>
    <s v="Café"/>
    <x v="1"/>
    <n v="0.05"/>
    <s v="Estratégico"/>
    <n v="9750"/>
    <n v="6149.9999999999991"/>
    <n v="3600.0000000000009"/>
    <n v="0.36923076923076931"/>
    <s v="Alta"/>
    <s v="Mediana"/>
    <x v="0"/>
  </r>
  <r>
    <s v="EX022"/>
    <d v="2026-07-11T00:00:00"/>
    <s v="Comercial Maya"/>
    <s v="P002"/>
    <x v="0"/>
    <n v="1000"/>
    <n v="7.1"/>
    <n v="4.8"/>
    <s v="Entregado"/>
    <x v="3"/>
    <s v="Cacao"/>
    <x v="0"/>
    <n v="0.03"/>
    <s v="Estratégico"/>
    <n v="7100"/>
    <n v="4800"/>
    <n v="2300"/>
    <n v="0.323943661971831"/>
    <s v="Alta"/>
    <s v="Mediana"/>
    <x v="0"/>
  </r>
  <r>
    <s v="EX023"/>
    <d v="2026-07-19T00:00:00"/>
    <s v="Distribuidora Tica"/>
    <s v="P004"/>
    <x v="2"/>
    <n v="720"/>
    <n v="8.1999999999999993"/>
    <n v="5.9"/>
    <s v="Embarcado"/>
    <x v="2"/>
    <s v="Semillas"/>
    <x v="0"/>
    <n v="0.02"/>
    <s v="Estratégico"/>
    <n v="5903.9999999999991"/>
    <n v="4248"/>
    <n v="1655.9999999999991"/>
    <n v="0.2804878048780487"/>
    <s v="Media"/>
    <s v="Mediana"/>
    <x v="1"/>
  </r>
  <r>
    <s v="EX024"/>
    <d v="2026-07-28T00:00:00"/>
    <s v="Iberia Foods"/>
    <s v="P003"/>
    <x v="3"/>
    <n v="1150"/>
    <n v="4.8"/>
    <n v="3.2"/>
    <s v="Entregado"/>
    <x v="0"/>
    <s v="Apícola"/>
    <x v="2"/>
    <n v="0.1"/>
    <s v="Potencial"/>
    <n v="5520"/>
    <n v="3680"/>
    <n v="1840"/>
    <n v="0.33333333333333331"/>
    <s v="Alta"/>
    <s v="Mediana"/>
    <x v="1"/>
  </r>
  <r>
    <s v="EX025"/>
    <d v="2026-08-05T00:00:00"/>
    <s v="Comercial Azteca"/>
    <s v="P001"/>
    <x v="4"/>
    <n v="950"/>
    <n v="6.5"/>
    <n v="4.0999999999999996"/>
    <s v="Pendiente"/>
    <x v="1"/>
    <s v="Café"/>
    <x v="1"/>
    <n v="0.08"/>
    <s v="Potencial"/>
    <n v="6175"/>
    <n v="3894.9999999999995"/>
    <n v="2280.0000000000005"/>
    <n v="0.36923076923076931"/>
    <s v="Alta"/>
    <s v="Mediana"/>
    <x v="1"/>
  </r>
  <r>
    <s v="EX026"/>
    <d v="2026-08-13T00:00:00"/>
    <s v="Global Foods"/>
    <s v="P005"/>
    <x v="1"/>
    <n v="700"/>
    <n v="12.5"/>
    <n v="8.6999999999999993"/>
    <s v="Entregado"/>
    <x v="4"/>
    <s v="Aceites"/>
    <x v="1"/>
    <n v="0.05"/>
    <s v="Estratégico"/>
    <n v="8750"/>
    <n v="6089.9999999999991"/>
    <n v="2660.0000000000009"/>
    <n v="0.3040000000000001"/>
    <s v="Alta"/>
    <s v="Mediana"/>
    <x v="0"/>
  </r>
  <r>
    <s v="EX027"/>
    <d v="2026-08-21T00:00:00"/>
    <s v="Comercial Maya"/>
    <s v="P003"/>
    <x v="0"/>
    <n v="1050"/>
    <n v="4.8"/>
    <n v="3.2"/>
    <s v="Embarcado"/>
    <x v="0"/>
    <s v="Apícola"/>
    <x v="0"/>
    <n v="0.03"/>
    <s v="Estratégico"/>
    <n v="5040"/>
    <n v="3360"/>
    <n v="1680"/>
    <n v="0.33333333333333331"/>
    <s v="Alta"/>
    <s v="Mediana"/>
    <x v="0"/>
  </r>
  <r>
    <s v="EX028"/>
    <d v="2026-08-29T00:00:00"/>
    <s v="Distribuidora Tica"/>
    <s v="P002"/>
    <x v="2"/>
    <n v="850"/>
    <n v="7.1"/>
    <n v="4.8"/>
    <s v="Entregado"/>
    <x v="3"/>
    <s v="Cacao"/>
    <x v="0"/>
    <n v="0.02"/>
    <s v="Estratégico"/>
    <n v="6035"/>
    <n v="4080"/>
    <n v="1955"/>
    <n v="0.323943661971831"/>
    <s v="Alta"/>
    <s v="Mediana"/>
    <x v="0"/>
  </r>
  <r>
    <s v="EX029"/>
    <d v="2026-09-04T00:00:00"/>
    <s v="Iberia Foods"/>
    <s v="P001"/>
    <x v="3"/>
    <n v="1200"/>
    <n v="6.5"/>
    <n v="4.0999999999999996"/>
    <s v="Embarcado"/>
    <x v="1"/>
    <s v="Café"/>
    <x v="2"/>
    <n v="0.1"/>
    <s v="Potencial"/>
    <n v="7800"/>
    <n v="4920"/>
    <n v="2880"/>
    <n v="0.36923076923076925"/>
    <s v="Alta"/>
    <s v="Mediana"/>
    <x v="1"/>
  </r>
  <r>
    <s v="EX030"/>
    <d v="2026-09-12T00:00:00"/>
    <s v="Comercial Azteca"/>
    <s v="P004"/>
    <x v="4"/>
    <n v="600"/>
    <n v="8.1999999999999993"/>
    <n v="5.9"/>
    <s v="Entregado"/>
    <x v="2"/>
    <s v="Semillas"/>
    <x v="1"/>
    <n v="0.08"/>
    <s v="Potencial"/>
    <n v="4920"/>
    <n v="3540"/>
    <n v="1380"/>
    <n v="0.28048780487804881"/>
    <s v="Media"/>
    <s v="Pequeña"/>
    <x v="2"/>
  </r>
  <r>
    <s v="EX031"/>
    <d v="2026-09-20T00:00:00"/>
    <s v="Global Foods"/>
    <s v="P003"/>
    <x v="1"/>
    <n v="1350"/>
    <n v="4.8"/>
    <n v="3.2"/>
    <s v="Entregado"/>
    <x v="0"/>
    <s v="Apícola"/>
    <x v="1"/>
    <n v="0.05"/>
    <s v="Estratégico"/>
    <n v="6480"/>
    <n v="4320"/>
    <n v="2160"/>
    <n v="0.33333333333333331"/>
    <s v="Alta"/>
    <s v="Mediana"/>
    <x v="0"/>
  </r>
  <r>
    <s v="EX032"/>
    <d v="2026-09-28T00:00:00"/>
    <s v="Comercial Maya"/>
    <s v="P005"/>
    <x v="0"/>
    <n v="500"/>
    <n v="12.5"/>
    <n v="8.6999999999999993"/>
    <s v="Pendiente"/>
    <x v="4"/>
    <s v="Aceites"/>
    <x v="0"/>
    <n v="0.03"/>
    <s v="Estratégico"/>
    <n v="6250"/>
    <n v="4350"/>
    <n v="1900"/>
    <n v="0.30399999999999999"/>
    <s v="Alta"/>
    <s v="Mediana"/>
    <x v="0"/>
  </r>
  <r>
    <s v="EX033"/>
    <d v="2026-10-06T00:00:00"/>
    <s v="Distribuidora Tica"/>
    <s v="P001"/>
    <x v="2"/>
    <n v="950"/>
    <n v="6.5"/>
    <n v="4.0999999999999996"/>
    <s v="Embarcado"/>
    <x v="1"/>
    <s v="Café"/>
    <x v="0"/>
    <n v="0.02"/>
    <s v="Estratégico"/>
    <n v="6175"/>
    <n v="3894.9999999999995"/>
    <n v="2280.0000000000005"/>
    <n v="0.36923076923076931"/>
    <s v="Alta"/>
    <s v="Mediana"/>
    <x v="0"/>
  </r>
  <r>
    <s v="EX034"/>
    <d v="2026-10-14T00:00:00"/>
    <s v="Iberia Foods"/>
    <s v="P002"/>
    <x v="3"/>
    <n v="1050"/>
    <n v="7.1"/>
    <n v="4.8"/>
    <s v="Entregado"/>
    <x v="3"/>
    <s v="Cacao"/>
    <x v="2"/>
    <n v="0.1"/>
    <s v="Potencial"/>
    <n v="7455"/>
    <n v="5040"/>
    <n v="2415"/>
    <n v="0.323943661971831"/>
    <s v="Alta"/>
    <s v="Mediana"/>
    <x v="1"/>
  </r>
  <r>
    <s v="EX035"/>
    <d v="2026-10-22T00:00:00"/>
    <s v="Comercial Azteca"/>
    <s v="P003"/>
    <x v="4"/>
    <n v="750"/>
    <n v="4.8"/>
    <n v="3.2"/>
    <s v="Embarcado"/>
    <x v="0"/>
    <s v="Apícola"/>
    <x v="1"/>
    <n v="0.08"/>
    <s v="Potencial"/>
    <n v="3600"/>
    <n v="2400"/>
    <n v="1200"/>
    <n v="0.33333333333333331"/>
    <s v="Alta"/>
    <s v="Pequeña"/>
    <x v="1"/>
  </r>
  <r>
    <s v="EX036"/>
    <d v="2026-10-30T00:00:00"/>
    <s v="Global Foods"/>
    <s v="P004"/>
    <x v="1"/>
    <n v="900"/>
    <n v="8.1999999999999993"/>
    <n v="5.9"/>
    <s v="Entregado"/>
    <x v="2"/>
    <s v="Semillas"/>
    <x v="1"/>
    <n v="0.05"/>
    <s v="Estratégico"/>
    <n v="7379.9999999999991"/>
    <n v="5310"/>
    <n v="2069.9999999999991"/>
    <n v="0.2804878048780487"/>
    <s v="Media"/>
    <s v="Mediana"/>
    <x v="1"/>
  </r>
  <r>
    <s v="EX037"/>
    <d v="2026-11-07T00:00:00"/>
    <s v="Comercial Maya"/>
    <s v="P001"/>
    <x v="0"/>
    <n v="1150"/>
    <n v="6.5"/>
    <n v="4.0999999999999996"/>
    <s v="Entregado"/>
    <x v="1"/>
    <s v="Café"/>
    <x v="0"/>
    <n v="0.03"/>
    <s v="Estratégico"/>
    <n v="7475"/>
    <n v="4715"/>
    <n v="2760"/>
    <n v="0.36923076923076925"/>
    <s v="Alta"/>
    <s v="Mediana"/>
    <x v="0"/>
  </r>
  <r>
    <s v="EX038"/>
    <d v="2026-11-15T00:00:00"/>
    <s v="Distribuidora Tica"/>
    <s v="P005"/>
    <x v="2"/>
    <n v="580"/>
    <n v="12.5"/>
    <n v="8.6999999999999993"/>
    <s v="Embarcado"/>
    <x v="4"/>
    <s v="Aceites"/>
    <x v="0"/>
    <n v="0.02"/>
    <s v="Estratégico"/>
    <n v="7250"/>
    <n v="5046"/>
    <n v="2204"/>
    <n v="0.30399999999999999"/>
    <s v="Alta"/>
    <s v="Mediana"/>
    <x v="0"/>
  </r>
  <r>
    <s v="EX039"/>
    <d v="2026-11-23T00:00:00"/>
    <s v="Iberia Foods"/>
    <s v="P003"/>
    <x v="3"/>
    <n v="1300"/>
    <n v="4.8"/>
    <n v="3.2"/>
    <s v="Pendiente"/>
    <x v="0"/>
    <s v="Apícola"/>
    <x v="2"/>
    <n v="0.1"/>
    <s v="Potencial"/>
    <n v="6240"/>
    <n v="4160"/>
    <n v="2080"/>
    <n v="0.33333333333333331"/>
    <s v="Alta"/>
    <s v="Mediana"/>
    <x v="1"/>
  </r>
  <r>
    <s v="EX040"/>
    <d v="2026-12-01T00:00:00"/>
    <s v="Comercial Azteca"/>
    <s v="P002"/>
    <x v="4"/>
    <n v="900"/>
    <n v="7.1"/>
    <n v="4.8"/>
    <s v="Entregado"/>
    <x v="3"/>
    <s v="Cacao"/>
    <x v="1"/>
    <n v="0.08"/>
    <s v="Potencial"/>
    <n v="6390"/>
    <n v="4320"/>
    <n v="2070"/>
    <n v="0.323943661971831"/>
    <s v="Alta"/>
    <s v="Mediana"/>
    <x v="1"/>
  </r>
  <r>
    <s v="EX041"/>
    <d v="2026-12-08T00:00:00"/>
    <s v="Global Foods"/>
    <s v="P001"/>
    <x v="1"/>
    <n v="1400"/>
    <n v="6.5"/>
    <n v="4.0999999999999996"/>
    <s v="Embarcado"/>
    <x v="1"/>
    <s v="Café"/>
    <x v="1"/>
    <n v="0.05"/>
    <s v="Estratégico"/>
    <n v="9100"/>
    <n v="5739.9999999999991"/>
    <n v="3360.0000000000009"/>
    <n v="0.36923076923076931"/>
    <s v="Alta"/>
    <s v="Mediana"/>
    <x v="0"/>
  </r>
  <r>
    <s v="EX042"/>
    <d v="2026-12-15T00:00:00"/>
    <s v="Comercial Maya"/>
    <s v="P004"/>
    <x v="0"/>
    <n v="800"/>
    <n v="8.1999999999999993"/>
    <n v="5.9"/>
    <s v="Entregado"/>
    <x v="2"/>
    <s v="Semillas"/>
    <x v="0"/>
    <n v="0.03"/>
    <s v="Estratégico"/>
    <n v="6559.9999999999991"/>
    <n v="4720"/>
    <n v="1839.9999999999991"/>
    <n v="0.2804878048780487"/>
    <s v="Media"/>
    <s v="Mediana"/>
    <x v="1"/>
  </r>
  <r>
    <s v="EX043"/>
    <d v="2026-12-22T00:00:00"/>
    <s v="Distribuidora Tica"/>
    <s v="P003"/>
    <x v="2"/>
    <n v="1000"/>
    <n v="4.8"/>
    <n v="3.2"/>
    <s v="Entregado"/>
    <x v="0"/>
    <s v="Apícola"/>
    <x v="0"/>
    <n v="0.02"/>
    <s v="Estratégico"/>
    <n v="4800"/>
    <n v="3200"/>
    <n v="1600"/>
    <n v="0.33333333333333331"/>
    <s v="Alta"/>
    <s v="Pequeña"/>
    <x v="0"/>
  </r>
  <r>
    <s v="EX044"/>
    <d v="2026-12-28T00:00:00"/>
    <s v="Iberia Foods"/>
    <s v="P005"/>
    <x v="3"/>
    <n v="650"/>
    <n v="12.5"/>
    <n v="8.6999999999999993"/>
    <s v="Embarcado"/>
    <x v="4"/>
    <s v="Aceites"/>
    <x v="2"/>
    <n v="0.1"/>
    <s v="Potencial"/>
    <n v="8125"/>
    <n v="5654.9999999999991"/>
    <n v="2470.0000000000009"/>
    <n v="0.3040000000000001"/>
    <s v="Alta"/>
    <s v="Mediana"/>
    <x v="1"/>
  </r>
  <r>
    <s v="EX045"/>
    <d v="2026-01-04T00:00:00"/>
    <s v="Comercial Azteca"/>
    <s v="P001"/>
    <x v="4"/>
    <n v="780"/>
    <n v="6.5"/>
    <n v="4.0999999999999996"/>
    <s v="Entregado"/>
    <x v="1"/>
    <s v="Café"/>
    <x v="1"/>
    <n v="0.08"/>
    <s v="Potencial"/>
    <n v="5070"/>
    <n v="3197.9999999999995"/>
    <n v="1872.0000000000005"/>
    <n v="0.36923076923076931"/>
    <s v="Alta"/>
    <s v="Mediana"/>
    <x v="1"/>
  </r>
  <r>
    <s v="EX046"/>
    <d v="2026-01-11T00:00:00"/>
    <s v="Global Foods"/>
    <s v="P002"/>
    <x v="1"/>
    <n v="1180"/>
    <n v="7.1"/>
    <n v="4.8"/>
    <s v="Pendiente"/>
    <x v="3"/>
    <s v="Cacao"/>
    <x v="1"/>
    <n v="0.05"/>
    <s v="Estratégico"/>
    <n v="8378"/>
    <n v="5664"/>
    <n v="2714"/>
    <n v="0.323943661971831"/>
    <s v="Alta"/>
    <s v="Mediana"/>
    <x v="0"/>
  </r>
  <r>
    <s v="EX047"/>
    <d v="2026-01-18T00:00:00"/>
    <s v="Comercial Maya"/>
    <s v="P003"/>
    <x v="0"/>
    <n v="920"/>
    <n v="4.8"/>
    <n v="3.2"/>
    <s v="Embarcado"/>
    <x v="0"/>
    <s v="Apícola"/>
    <x v="0"/>
    <n v="0.03"/>
    <s v="Estratégico"/>
    <n v="4416"/>
    <n v="2944"/>
    <n v="1472"/>
    <n v="0.33333333333333331"/>
    <s v="Alta"/>
    <s v="Pequeña"/>
    <x v="0"/>
  </r>
  <r>
    <s v="EX048"/>
    <d v="2026-01-26T00:00:00"/>
    <s v="Distribuidora Tica"/>
    <s v="P004"/>
    <x v="2"/>
    <n v="680"/>
    <n v="8.1999999999999993"/>
    <n v="5.9"/>
    <s v="Entregado"/>
    <x v="2"/>
    <s v="Semillas"/>
    <x v="0"/>
    <n v="0.02"/>
    <s v="Estratégico"/>
    <n v="5575.9999999999991"/>
    <n v="4012.0000000000005"/>
    <n v="1563.9999999999986"/>
    <n v="0.28048780487804859"/>
    <s v="Media"/>
    <s v="Mediana"/>
    <x v="1"/>
  </r>
  <r>
    <s v="EX049"/>
    <d v="2026-02-04T00:00:00"/>
    <s v="Iberia Foods"/>
    <s v="P001"/>
    <x v="3"/>
    <n v="1080"/>
    <n v="6.5"/>
    <n v="4.0999999999999996"/>
    <s v="Embarcado"/>
    <x v="1"/>
    <s v="Café"/>
    <x v="2"/>
    <n v="0.1"/>
    <s v="Potencial"/>
    <n v="7020"/>
    <n v="4428"/>
    <n v="2592"/>
    <n v="0.36923076923076925"/>
    <s v="Alta"/>
    <s v="Mediana"/>
    <x v="1"/>
  </r>
  <r>
    <s v="EX050"/>
    <d v="2026-02-12T00:00:00"/>
    <s v="Comercial Azteca"/>
    <s v="P005"/>
    <x v="4"/>
    <n v="520"/>
    <n v="12.5"/>
    <n v="8.6999999999999993"/>
    <s v="Entregado"/>
    <x v="4"/>
    <s v="Aceites"/>
    <x v="1"/>
    <n v="0.08"/>
    <s v="Potencial"/>
    <n v="6500"/>
    <n v="4524"/>
    <n v="1976"/>
    <n v="0.30399999999999999"/>
    <s v="Alta"/>
    <s v="Mediana"/>
    <x v="1"/>
  </r>
  <r>
    <s v="EX051"/>
    <d v="2026-02-21T00:00:00"/>
    <s v="Global Foods"/>
    <s v="P003"/>
    <x v="1"/>
    <n v="1450"/>
    <n v="4.8"/>
    <n v="3.2"/>
    <s v="Entregado"/>
    <x v="0"/>
    <s v="Apícola"/>
    <x v="1"/>
    <n v="0.05"/>
    <s v="Estratégico"/>
    <n v="6960"/>
    <n v="4640"/>
    <n v="2320"/>
    <n v="0.33333333333333331"/>
    <s v="Alta"/>
    <s v="Mediana"/>
    <x v="0"/>
  </r>
  <r>
    <s v="EX052"/>
    <d v="2026-03-01T00:00:00"/>
    <s v="Comercial Maya"/>
    <s v="P002"/>
    <x v="0"/>
    <n v="880"/>
    <n v="7.1"/>
    <n v="4.8"/>
    <s v="Pendiente"/>
    <x v="3"/>
    <s v="Cacao"/>
    <x v="0"/>
    <n v="0.03"/>
    <s v="Estratégico"/>
    <n v="6248"/>
    <n v="4224"/>
    <n v="2024"/>
    <n v="0.323943661971831"/>
    <s v="Alta"/>
    <s v="Mediana"/>
    <x v="0"/>
  </r>
  <r>
    <s v="EX053"/>
    <d v="2026-03-10T00:00:00"/>
    <s v="Distribuidora Tica"/>
    <s v="P001"/>
    <x v="2"/>
    <n v="970"/>
    <n v="6.5"/>
    <n v="4.0999999999999996"/>
    <s v="Embarcado"/>
    <x v="1"/>
    <s v="Café"/>
    <x v="0"/>
    <n v="0.02"/>
    <s v="Estratégico"/>
    <n v="6305"/>
    <n v="3976.9999999999995"/>
    <n v="2328.0000000000005"/>
    <n v="0.36923076923076931"/>
    <s v="Alta"/>
    <s v="Mediana"/>
    <x v="0"/>
  </r>
  <r>
    <s v="EX054"/>
    <d v="2026-03-19T00:00:00"/>
    <s v="Iberia Foods"/>
    <s v="P004"/>
    <x v="3"/>
    <n v="760"/>
    <n v="8.1999999999999993"/>
    <n v="5.9"/>
    <s v="Entregado"/>
    <x v="2"/>
    <s v="Semillas"/>
    <x v="2"/>
    <n v="0.1"/>
    <s v="Potencial"/>
    <n v="6231.9999999999991"/>
    <n v="4484"/>
    <n v="1747.9999999999991"/>
    <n v="0.2804878048780487"/>
    <s v="Media"/>
    <s v="Mediana"/>
    <x v="2"/>
  </r>
  <r>
    <s v="EX055"/>
    <d v="2026-03-28T00:00:00"/>
    <s v="Comercial Azteca"/>
    <s v="P003"/>
    <x v="4"/>
    <n v="620"/>
    <n v="4.8"/>
    <n v="3.2"/>
    <s v="Embarcado"/>
    <x v="0"/>
    <s v="Apícola"/>
    <x v="1"/>
    <n v="0.08"/>
    <s v="Potencial"/>
    <n v="2976"/>
    <n v="1984"/>
    <n v="992"/>
    <n v="0.33333333333333331"/>
    <s v="Alta"/>
    <s v="Pequeña"/>
    <x v="1"/>
  </r>
  <r>
    <s v="EX056"/>
    <d v="2026-04-06T00:00:00"/>
    <s v="Global Foods"/>
    <s v="P005"/>
    <x v="1"/>
    <n v="820"/>
    <n v="12.5"/>
    <n v="8.6999999999999993"/>
    <s v="Entregado"/>
    <x v="4"/>
    <s v="Aceites"/>
    <x v="1"/>
    <n v="0.05"/>
    <s v="Estratégico"/>
    <n v="10250"/>
    <n v="7133.9999999999991"/>
    <n v="3116.0000000000009"/>
    <n v="0.3040000000000001"/>
    <s v="Alta"/>
    <s v="Grande"/>
    <x v="0"/>
  </r>
  <r>
    <s v="EX057"/>
    <d v="2026-04-15T00:00:00"/>
    <s v="Comercial Maya"/>
    <s v="P001"/>
    <x v="0"/>
    <n v="1250"/>
    <n v="6.5"/>
    <n v="4.0999999999999996"/>
    <s v="Entregado"/>
    <x v="1"/>
    <s v="Café"/>
    <x v="0"/>
    <n v="0.03"/>
    <s v="Estratégico"/>
    <n v="8125"/>
    <n v="5125"/>
    <n v="3000"/>
    <n v="0.36923076923076925"/>
    <s v="Alta"/>
    <s v="Mediana"/>
    <x v="0"/>
  </r>
  <r>
    <s v="EX058"/>
    <d v="2026-04-24T00:00:00"/>
    <s v="Distribuidora Tica"/>
    <s v="P002"/>
    <x v="2"/>
    <n v="790"/>
    <n v="7.1"/>
    <n v="4.8"/>
    <s v="Embarcado"/>
    <x v="3"/>
    <s v="Cacao"/>
    <x v="0"/>
    <n v="0.02"/>
    <s v="Estratégico"/>
    <n v="5609"/>
    <n v="3792"/>
    <n v="1817"/>
    <n v="0.323943661971831"/>
    <s v="Alta"/>
    <s v="Mediana"/>
    <x v="0"/>
  </r>
  <r>
    <s v="EX059"/>
    <d v="2026-05-03T00:00:00"/>
    <s v="Iberia Foods"/>
    <s v="P003"/>
    <x v="3"/>
    <n v="980"/>
    <n v="4.8"/>
    <n v="3.2"/>
    <s v="Pendiente"/>
    <x v="0"/>
    <s v="Apícola"/>
    <x v="2"/>
    <n v="0.1"/>
    <s v="Potencial"/>
    <n v="4704"/>
    <n v="3136"/>
    <n v="1568"/>
    <n v="0.33333333333333331"/>
    <s v="Alta"/>
    <s v="Pequeña"/>
    <x v="1"/>
  </r>
  <r>
    <s v="EX060"/>
    <d v="2026-05-12T00:00:00"/>
    <s v="Comercial Azteca"/>
    <s v="P004"/>
    <x v="4"/>
    <n v="730"/>
    <n v="8.1999999999999993"/>
    <n v="5.9"/>
    <s v="Entregado"/>
    <x v="2"/>
    <s v="Semillas"/>
    <x v="1"/>
    <n v="0.08"/>
    <s v="Potencial"/>
    <n v="5985.9999999999991"/>
    <n v="4307"/>
    <n v="1678.9999999999991"/>
    <n v="0.2804878048780487"/>
    <s v="Media"/>
    <s v="Mediana"/>
    <x v="2"/>
  </r>
  <r>
    <s v="EX061"/>
    <d v="2026-05-21T00:00:00"/>
    <s v="Global Foods"/>
    <s v="P001"/>
    <x v="1"/>
    <n v="1320"/>
    <n v="6.5"/>
    <n v="4.0999999999999996"/>
    <s v="Embarcado"/>
    <x v="1"/>
    <s v="Café"/>
    <x v="1"/>
    <n v="0.05"/>
    <s v="Estratégico"/>
    <n v="8580"/>
    <n v="5411.9999999999991"/>
    <n v="3168.0000000000009"/>
    <n v="0.36923076923076936"/>
    <s v="Alta"/>
    <s v="Mediana"/>
    <x v="0"/>
  </r>
  <r>
    <s v="EX062"/>
    <d v="2026-05-30T00:00:00"/>
    <s v="Comercial Maya"/>
    <s v="P005"/>
    <x v="0"/>
    <n v="470"/>
    <n v="12.5"/>
    <n v="8.6999999999999993"/>
    <s v="Entregado"/>
    <x v="4"/>
    <s v="Aceites"/>
    <x v="0"/>
    <n v="0.03"/>
    <s v="Estratégico"/>
    <n v="5875"/>
    <n v="4088.9999999999995"/>
    <n v="1786.0000000000005"/>
    <n v="0.3040000000000001"/>
    <s v="Alta"/>
    <s v="Mediana"/>
    <x v="0"/>
  </r>
  <r>
    <s v="EX063"/>
    <d v="2026-06-08T00:00:00"/>
    <s v="Distribuidora Tica"/>
    <s v="P003"/>
    <x v="2"/>
    <n v="860"/>
    <n v="4.8"/>
    <n v="3.2"/>
    <s v="Entregado"/>
    <x v="0"/>
    <s v="Apícola"/>
    <x v="0"/>
    <n v="0.02"/>
    <s v="Estratégico"/>
    <n v="4128"/>
    <n v="2752"/>
    <n v="1376"/>
    <n v="0.33333333333333331"/>
    <s v="Alta"/>
    <s v="Pequeña"/>
    <x v="0"/>
  </r>
  <r>
    <s v="EX064"/>
    <d v="2026-06-17T00:00:00"/>
    <s v="Iberia Foods"/>
    <s v="P002"/>
    <x v="3"/>
    <n v="1040"/>
    <n v="7.1"/>
    <n v="4.8"/>
    <s v="Embarcado"/>
    <x v="3"/>
    <s v="Cacao"/>
    <x v="2"/>
    <n v="0.1"/>
    <s v="Potencial"/>
    <n v="7384"/>
    <n v="4992"/>
    <n v="2392"/>
    <n v="0.323943661971831"/>
    <s v="Alta"/>
    <s v="Mediana"/>
    <x v="1"/>
  </r>
  <r>
    <s v="EX065"/>
    <d v="2026-06-26T00:00:00"/>
    <s v="Comercial Azteca"/>
    <s v="P001"/>
    <x v="4"/>
    <n v="890"/>
    <n v="6.5"/>
    <n v="4.0999999999999996"/>
    <s v="Pendiente"/>
    <x v="1"/>
    <s v="Café"/>
    <x v="1"/>
    <n v="0.08"/>
    <s v="Potencial"/>
    <n v="5785"/>
    <n v="3648.9999999999995"/>
    <n v="2136.0000000000005"/>
    <n v="0.36923076923076931"/>
    <s v="Alta"/>
    <s v="Mediana"/>
    <x v="1"/>
  </r>
  <r>
    <s v="EX066"/>
    <d v="2026-07-05T00:00:00"/>
    <s v="Global Foods"/>
    <s v="P004"/>
    <x v="1"/>
    <n v="1170"/>
    <n v="8.1999999999999993"/>
    <n v="5.9"/>
    <s v="Entregado"/>
    <x v="2"/>
    <s v="Semillas"/>
    <x v="1"/>
    <n v="0.05"/>
    <s v="Estratégico"/>
    <n v="9594"/>
    <n v="6903"/>
    <n v="2691"/>
    <n v="0.28048780487804881"/>
    <s v="Media"/>
    <s v="Mediana"/>
    <x v="1"/>
  </r>
  <r>
    <s v="EX067"/>
    <d v="2026-07-14T00:00:00"/>
    <s v="Comercial Maya"/>
    <s v="P003"/>
    <x v="0"/>
    <n v="760"/>
    <n v="4.8"/>
    <n v="3.2"/>
    <s v="Embarcado"/>
    <x v="0"/>
    <s v="Apícola"/>
    <x v="0"/>
    <n v="0.03"/>
    <s v="Estratégico"/>
    <n v="3648"/>
    <n v="2432"/>
    <n v="1216"/>
    <n v="0.33333333333333331"/>
    <s v="Alta"/>
    <s v="Pequeña"/>
    <x v="0"/>
  </r>
  <r>
    <s v="EX068"/>
    <d v="2026-07-23T00:00:00"/>
    <s v="Distribuidora Tica"/>
    <s v="P005"/>
    <x v="2"/>
    <n v="540"/>
    <n v="12.5"/>
    <n v="8.6999999999999993"/>
    <s v="Entregado"/>
    <x v="4"/>
    <s v="Aceites"/>
    <x v="0"/>
    <n v="0.02"/>
    <s v="Estratégico"/>
    <n v="6750"/>
    <n v="4698"/>
    <n v="2052"/>
    <n v="0.30399999999999999"/>
    <s v="Alta"/>
    <s v="Mediana"/>
    <x v="0"/>
  </r>
  <r>
    <s v="EX069"/>
    <d v="2026-08-01T00:00:00"/>
    <s v="Iberia Foods"/>
    <s v="P001"/>
    <x v="3"/>
    <n v="1280"/>
    <n v="6.5"/>
    <n v="4.0999999999999996"/>
    <s v="Embarcado"/>
    <x v="1"/>
    <s v="Café"/>
    <x v="2"/>
    <n v="0.1"/>
    <s v="Potencial"/>
    <n v="8320"/>
    <n v="5248"/>
    <n v="3072"/>
    <n v="0.36923076923076925"/>
    <s v="Alta"/>
    <s v="Mediana"/>
    <x v="1"/>
  </r>
  <r>
    <s v="EX070"/>
    <d v="2026-08-10T00:00:00"/>
    <s v="Comercial Azteca"/>
    <s v="P002"/>
    <x v="4"/>
    <n v="930"/>
    <n v="7.1"/>
    <n v="4.8"/>
    <s v="Entregado"/>
    <x v="3"/>
    <s v="Cacao"/>
    <x v="1"/>
    <n v="0.08"/>
    <s v="Potencial"/>
    <n v="6603"/>
    <n v="4464"/>
    <n v="2139"/>
    <n v="0.323943661971831"/>
    <s v="Alta"/>
    <s v="Mediana"/>
    <x v="1"/>
  </r>
  <r>
    <s v="EX071"/>
    <d v="2026-08-19T00:00:00"/>
    <s v="Global Foods"/>
    <s v="P003"/>
    <x v="1"/>
    <n v="1550"/>
    <n v="4.8"/>
    <n v="3.2"/>
    <s v="Entregado"/>
    <x v="0"/>
    <s v="Apícola"/>
    <x v="1"/>
    <n v="0.05"/>
    <s v="Estratégico"/>
    <n v="7440"/>
    <n v="4960"/>
    <n v="2480"/>
    <n v="0.33333333333333331"/>
    <s v="Alta"/>
    <s v="Mediana"/>
    <x v="0"/>
  </r>
  <r>
    <s v="EX072"/>
    <d v="2026-08-28T00:00:00"/>
    <s v="Comercial Maya"/>
    <s v="P004"/>
    <x v="0"/>
    <n v="690"/>
    <n v="8.1999999999999993"/>
    <n v="5.9"/>
    <s v="Pendiente"/>
    <x v="2"/>
    <s v="Semillas"/>
    <x v="0"/>
    <n v="0.03"/>
    <s v="Estratégico"/>
    <n v="5657.9999999999991"/>
    <n v="4071.0000000000005"/>
    <n v="1586.9999999999986"/>
    <n v="0.28048780487804859"/>
    <s v="Media"/>
    <s v="Mediana"/>
    <x v="1"/>
  </r>
  <r>
    <s v="EX073"/>
    <d v="2026-09-06T00:00:00"/>
    <s v="Distribuidora Tica"/>
    <s v="P001"/>
    <x v="2"/>
    <n v="1020"/>
    <n v="6.5"/>
    <n v="4.0999999999999996"/>
    <s v="Embarcado"/>
    <x v="1"/>
    <s v="Café"/>
    <x v="0"/>
    <n v="0.02"/>
    <s v="Estratégico"/>
    <n v="6630"/>
    <n v="4182"/>
    <n v="2448"/>
    <n v="0.36923076923076925"/>
    <s v="Alta"/>
    <s v="Mediana"/>
    <x v="0"/>
  </r>
  <r>
    <s v="EX074"/>
    <d v="2026-09-15T00:00:00"/>
    <s v="Iberia Foods"/>
    <s v="P005"/>
    <x v="3"/>
    <n v="610"/>
    <n v="12.5"/>
    <n v="8.6999999999999993"/>
    <s v="Entregado"/>
    <x v="4"/>
    <s v="Aceites"/>
    <x v="2"/>
    <n v="0.1"/>
    <s v="Potencial"/>
    <n v="7625"/>
    <n v="5307"/>
    <n v="2318"/>
    <n v="0.30399999999999999"/>
    <s v="Alta"/>
    <s v="Mediana"/>
    <x v="1"/>
  </r>
  <r>
    <s v="EX075"/>
    <d v="2026-09-24T00:00:00"/>
    <s v="Comercial Azteca"/>
    <s v="P003"/>
    <x v="4"/>
    <n v="840"/>
    <n v="4.8"/>
    <n v="3.2"/>
    <s v="Embarcado"/>
    <x v="0"/>
    <s v="Apícola"/>
    <x v="1"/>
    <n v="0.08"/>
    <s v="Potencial"/>
    <n v="4032"/>
    <n v="2688"/>
    <n v="1344"/>
    <n v="0.33333333333333331"/>
    <s v="Alta"/>
    <s v="Pequeña"/>
    <x v="1"/>
  </r>
  <r>
    <s v="EX076"/>
    <d v="2026-10-03T00:00:00"/>
    <s v="Global Foods"/>
    <s v="P002"/>
    <x v="1"/>
    <n v="1210"/>
    <n v="7.1"/>
    <n v="4.8"/>
    <s v="Entregado"/>
    <x v="3"/>
    <s v="Cacao"/>
    <x v="1"/>
    <n v="0.05"/>
    <s v="Estratégico"/>
    <n v="8591"/>
    <n v="5808"/>
    <n v="2783"/>
    <n v="0.323943661971831"/>
    <s v="Alta"/>
    <s v="Mediana"/>
    <x v="0"/>
  </r>
  <r>
    <s v="EX077"/>
    <d v="2026-10-12T00:00:00"/>
    <s v="Comercial Maya"/>
    <s v="P001"/>
    <x v="0"/>
    <n v="1080"/>
    <n v="6.5"/>
    <n v="4.0999999999999996"/>
    <s v="Entregado"/>
    <x v="1"/>
    <s v="Café"/>
    <x v="0"/>
    <n v="0.03"/>
    <s v="Estratégico"/>
    <n v="7020"/>
    <n v="4428"/>
    <n v="2592"/>
    <n v="0.36923076923076925"/>
    <s v="Alta"/>
    <s v="Mediana"/>
    <x v="0"/>
  </r>
  <r>
    <s v="EX078"/>
    <d v="2026-10-21T00:00:00"/>
    <s v="Distribuidora Tica"/>
    <s v="P004"/>
    <x v="2"/>
    <n v="720"/>
    <n v="8.1999999999999993"/>
    <n v="5.9"/>
    <s v="Embarcado"/>
    <x v="2"/>
    <s v="Semillas"/>
    <x v="0"/>
    <n v="0.02"/>
    <s v="Estratégico"/>
    <n v="5903.9999999999991"/>
    <n v="4248"/>
    <n v="1655.9999999999991"/>
    <n v="0.2804878048780487"/>
    <s v="Media"/>
    <s v="Mediana"/>
    <x v="1"/>
  </r>
  <r>
    <s v="EX079"/>
    <d v="2026-10-30T00:00:00"/>
    <s v="Iberia Foods"/>
    <s v="P003"/>
    <x v="3"/>
    <n v="1160"/>
    <n v="4.8"/>
    <n v="3.2"/>
    <s v="Pendiente"/>
    <x v="0"/>
    <s v="Apícola"/>
    <x v="2"/>
    <n v="0.1"/>
    <s v="Potencial"/>
    <n v="5568"/>
    <n v="3712"/>
    <n v="1856"/>
    <n v="0.33333333333333331"/>
    <s v="Alta"/>
    <s v="Mediana"/>
    <x v="1"/>
  </r>
  <r>
    <s v="EX080"/>
    <d v="2026-11-08T00:00:00"/>
    <s v="Comercial Azteca"/>
    <s v="P005"/>
    <x v="4"/>
    <n v="560"/>
    <n v="12.5"/>
    <n v="8.6999999999999993"/>
    <s v="Entregado"/>
    <x v="4"/>
    <s v="Aceites"/>
    <x v="1"/>
    <n v="0.08"/>
    <s v="Potencial"/>
    <n v="7000"/>
    <n v="4872"/>
    <n v="2128"/>
    <n v="0.30399999999999999"/>
    <s v="Alta"/>
    <s v="Mediana"/>
    <x v="1"/>
  </r>
  <r>
    <s v="EX081"/>
    <d v="2026-11-17T00:00:00"/>
    <s v="Global Foods"/>
    <s v="P001"/>
    <x v="1"/>
    <n v="1380"/>
    <n v="6.5"/>
    <n v="4.0999999999999996"/>
    <s v="Embarcado"/>
    <x v="1"/>
    <s v="Café"/>
    <x v="1"/>
    <n v="0.05"/>
    <s v="Estratégico"/>
    <n v="8970"/>
    <n v="5657.9999999999991"/>
    <n v="3312.0000000000009"/>
    <n v="0.36923076923076931"/>
    <s v="Alta"/>
    <s v="Mediana"/>
    <x v="0"/>
  </r>
  <r>
    <s v="EX082"/>
    <d v="2026-11-26T00:00:00"/>
    <s v="Comercial Maya"/>
    <s v="P002"/>
    <x v="0"/>
    <n v="940"/>
    <n v="7.1"/>
    <n v="4.8"/>
    <s v="Entregado"/>
    <x v="3"/>
    <s v="Cacao"/>
    <x v="0"/>
    <n v="0.03"/>
    <s v="Estratégico"/>
    <n v="6674"/>
    <n v="4512"/>
    <n v="2162"/>
    <n v="0.323943661971831"/>
    <s v="Alta"/>
    <s v="Mediana"/>
    <x v="0"/>
  </r>
  <r>
    <s v="EX083"/>
    <d v="2026-12-05T00:00:00"/>
    <s v="Distribuidora Tica"/>
    <s v="P003"/>
    <x v="2"/>
    <n v="870"/>
    <n v="4.8"/>
    <n v="3.2"/>
    <s v="Embarcado"/>
    <x v="0"/>
    <s v="Apícola"/>
    <x v="0"/>
    <n v="0.02"/>
    <s v="Estratégico"/>
    <n v="4176"/>
    <n v="2784"/>
    <n v="1392"/>
    <n v="0.33333333333333331"/>
    <s v="Alta"/>
    <s v="Pequeña"/>
    <x v="0"/>
  </r>
  <r>
    <s v="EX084"/>
    <d v="2026-12-14T00:00:00"/>
    <s v="Iberia Foods"/>
    <s v="P004"/>
    <x v="3"/>
    <n v="810"/>
    <n v="8.1999999999999993"/>
    <n v="5.9"/>
    <s v="Entregado"/>
    <x v="2"/>
    <s v="Semillas"/>
    <x v="2"/>
    <n v="0.1"/>
    <s v="Potencial"/>
    <n v="6641.9999999999991"/>
    <n v="4779"/>
    <n v="1862.9999999999991"/>
    <n v="0.2804878048780487"/>
    <s v="Media"/>
    <s v="Mediana"/>
    <x v="2"/>
  </r>
  <r>
    <s v="EX085"/>
    <d v="2026-12-23T00:00:00"/>
    <s v="Comercial Azteca"/>
    <s v="P001"/>
    <x v="4"/>
    <n v="990"/>
    <n v="6.5"/>
    <n v="4.0999999999999996"/>
    <s v="Pendiente"/>
    <x v="1"/>
    <s v="Café"/>
    <x v="1"/>
    <n v="0.08"/>
    <s v="Potencial"/>
    <n v="6435"/>
    <n v="4058.9999999999995"/>
    <n v="2376.0000000000005"/>
    <n v="0.36923076923076931"/>
    <s v="Alta"/>
    <s v="Mediana"/>
    <x v="1"/>
  </r>
  <r>
    <s v="EX086"/>
    <d v="2026-12-30T00:00:00"/>
    <s v="Global Foods"/>
    <s v="P005"/>
    <x v="1"/>
    <n v="730"/>
    <n v="12.5"/>
    <n v="8.6999999999999993"/>
    <s v="Entregado"/>
    <x v="4"/>
    <s v="Aceites"/>
    <x v="1"/>
    <n v="0.05"/>
    <s v="Estratégico"/>
    <n v="9125"/>
    <n v="6350.9999999999991"/>
    <n v="2774.0000000000009"/>
    <n v="0.3040000000000001"/>
    <s v="Alta"/>
    <s v="Mediana"/>
    <x v="0"/>
  </r>
  <r>
    <s v="EX087"/>
    <d v="2026-01-07T00:00:00"/>
    <s v="Comercial Maya"/>
    <s v="P004"/>
    <x v="0"/>
    <n v="780"/>
    <n v="8.1999999999999993"/>
    <n v="5.9"/>
    <s v="Embarcado"/>
    <x v="2"/>
    <s v="Semillas"/>
    <x v="0"/>
    <n v="0.03"/>
    <s v="Estratégico"/>
    <n v="6395.9999999999991"/>
    <n v="4602"/>
    <n v="1793.9999999999991"/>
    <n v="0.2804878048780487"/>
    <s v="Media"/>
    <s v="Mediana"/>
    <x v="1"/>
  </r>
  <r>
    <s v="EX088"/>
    <d v="2026-01-16T00:00:00"/>
    <s v="Distribuidora Tica"/>
    <s v="P003"/>
    <x v="2"/>
    <n v="930"/>
    <n v="4.8"/>
    <n v="3.2"/>
    <s v="Entregado"/>
    <x v="0"/>
    <s v="Apícola"/>
    <x v="0"/>
    <n v="0.02"/>
    <s v="Estratégico"/>
    <n v="4464"/>
    <n v="2976"/>
    <n v="1488"/>
    <n v="0.33333333333333331"/>
    <s v="Alta"/>
    <s v="Pequeña"/>
    <x v="0"/>
  </r>
  <r>
    <s v="EX089"/>
    <d v="2026-01-25T00:00:00"/>
    <s v="Iberia Foods"/>
    <s v="P002"/>
    <x v="3"/>
    <n v="870"/>
    <n v="7.1"/>
    <n v="4.8"/>
    <s v="Pendiente"/>
    <x v="3"/>
    <s v="Cacao"/>
    <x v="2"/>
    <n v="0.1"/>
    <s v="Potencial"/>
    <n v="6177"/>
    <n v="4176"/>
    <n v="2001"/>
    <n v="0.323943661971831"/>
    <s v="Alta"/>
    <s v="Mediana"/>
    <x v="1"/>
  </r>
  <r>
    <s v="EX090"/>
    <d v="2026-02-06T00:00:00"/>
    <s v="Comercial Azteca"/>
    <s v="P005"/>
    <x v="4"/>
    <n v="480"/>
    <n v="12.5"/>
    <n v="8.6999999999999993"/>
    <s v="Embarcado"/>
    <x v="4"/>
    <s v="Aceites"/>
    <x v="1"/>
    <n v="0.08"/>
    <s v="Potencial"/>
    <n v="6000"/>
    <n v="4176"/>
    <n v="1824"/>
    <n v="0.30399999999999999"/>
    <s v="Alta"/>
    <s v="Mediana"/>
    <x v="1"/>
  </r>
  <r>
    <s v="EX091"/>
    <d v="2026-02-15T00:00:00"/>
    <s v="Global Foods"/>
    <s v="P001"/>
    <x v="1"/>
    <n v="1260"/>
    <n v="6.5"/>
    <n v="4.0999999999999996"/>
    <s v="Entregado"/>
    <x v="1"/>
    <s v="Café"/>
    <x v="1"/>
    <n v="0.05"/>
    <s v="Estratégico"/>
    <n v="8190"/>
    <n v="5166"/>
    <n v="3024"/>
    <n v="0.36923076923076925"/>
    <s v="Alta"/>
    <s v="Mediana"/>
    <x v="0"/>
  </r>
  <r>
    <s v="EX092"/>
    <d v="2026-02-24T00:00:00"/>
    <s v="Comercial Maya"/>
    <s v="P003"/>
    <x v="0"/>
    <n v="1100"/>
    <n v="4.8"/>
    <n v="3.2"/>
    <s v="Embarcado"/>
    <x v="0"/>
    <s v="Apícola"/>
    <x v="0"/>
    <n v="0.03"/>
    <s v="Estratégico"/>
    <n v="5280"/>
    <n v="3520"/>
    <n v="1760"/>
    <n v="0.33333333333333331"/>
    <s v="Alta"/>
    <s v="Mediana"/>
    <x v="0"/>
  </r>
  <r>
    <s v="EX093"/>
    <d v="2026-03-05T00:00:00"/>
    <s v="Distribuidora Tica"/>
    <s v="P005"/>
    <x v="2"/>
    <n v="570"/>
    <n v="12.5"/>
    <n v="8.6999999999999993"/>
    <s v="Entregado"/>
    <x v="4"/>
    <s v="Aceites"/>
    <x v="0"/>
    <n v="0.02"/>
    <s v="Estratégico"/>
    <n v="7125"/>
    <n v="4959"/>
    <n v="2166"/>
    <n v="0.30399999999999999"/>
    <s v="Alta"/>
    <s v="Mediana"/>
    <x v="0"/>
  </r>
  <r>
    <s v="EX094"/>
    <d v="2026-03-14T00:00:00"/>
    <s v="Iberia Foods"/>
    <s v="P004"/>
    <x v="3"/>
    <n v="880"/>
    <n v="8.1999999999999993"/>
    <n v="5.9"/>
    <s v="Embarcado"/>
    <x v="2"/>
    <s v="Semillas"/>
    <x v="2"/>
    <n v="0.1"/>
    <s v="Potencial"/>
    <n v="7215.9999999999991"/>
    <n v="5192"/>
    <n v="2023.9999999999991"/>
    <n v="0.2804878048780487"/>
    <s v="Media"/>
    <s v="Mediana"/>
    <x v="2"/>
  </r>
  <r>
    <s v="EX095"/>
    <d v="2026-03-23T00:00:00"/>
    <s v="Comercial Azteca"/>
    <s v="P002"/>
    <x v="4"/>
    <n v="1060"/>
    <n v="7.1"/>
    <n v="4.8"/>
    <s v="Entregado"/>
    <x v="3"/>
    <s v="Cacao"/>
    <x v="1"/>
    <n v="0.08"/>
    <s v="Potencial"/>
    <n v="7526"/>
    <n v="5088"/>
    <n v="2438"/>
    <n v="0.323943661971831"/>
    <s v="Alta"/>
    <s v="Mediana"/>
    <x v="1"/>
  </r>
  <r>
    <s v="EX096"/>
    <d v="2026-04-02T00:00:00"/>
    <s v="Global Foods"/>
    <s v="P003"/>
    <x v="1"/>
    <n v="1490"/>
    <n v="4.8"/>
    <n v="3.2"/>
    <s v="Pendiente"/>
    <x v="0"/>
    <s v="Apícola"/>
    <x v="1"/>
    <n v="0.05"/>
    <s v="Estratégico"/>
    <n v="7152"/>
    <n v="4768"/>
    <n v="2384"/>
    <n v="0.33333333333333331"/>
    <s v="Alta"/>
    <s v="Mediana"/>
    <x v="0"/>
  </r>
  <r>
    <s v="EX097"/>
    <d v="2026-04-11T00:00:00"/>
    <s v="Comercial Maya"/>
    <s v="P001"/>
    <x v="0"/>
    <n v="910"/>
    <n v="6.5"/>
    <n v="4.0999999999999996"/>
    <s v="Embarcado"/>
    <x v="1"/>
    <s v="Café"/>
    <x v="0"/>
    <n v="0.03"/>
    <s v="Estratégico"/>
    <n v="5915"/>
    <n v="3730.9999999999995"/>
    <n v="2184.0000000000005"/>
    <n v="0.36923076923076931"/>
    <s v="Alta"/>
    <s v="Mediana"/>
    <x v="0"/>
  </r>
  <r>
    <s v="EX098"/>
    <d v="2026-04-20T00:00:00"/>
    <s v="Distribuidora Tica"/>
    <s v="P004"/>
    <x v="2"/>
    <n v="740"/>
    <n v="8.1999999999999993"/>
    <n v="5.9"/>
    <s v="Entregado"/>
    <x v="2"/>
    <s v="Semillas"/>
    <x v="0"/>
    <n v="0.02"/>
    <s v="Estratégico"/>
    <n v="6067.9999999999991"/>
    <n v="4366"/>
    <n v="1701.9999999999991"/>
    <n v="0.2804878048780487"/>
    <s v="Media"/>
    <s v="Mediana"/>
    <x v="1"/>
  </r>
  <r>
    <s v="EX099"/>
    <d v="2026-04-29T00:00:00"/>
    <s v="Iberia Foods"/>
    <s v="P005"/>
    <x v="3"/>
    <n v="630"/>
    <n v="12.5"/>
    <n v="8.6999999999999993"/>
    <s v="Embarcado"/>
    <x v="4"/>
    <s v="Aceites"/>
    <x v="2"/>
    <n v="0.1"/>
    <s v="Potencial"/>
    <n v="7875"/>
    <n v="5481"/>
    <n v="2394"/>
    <n v="0.30399999999999999"/>
    <s v="Alta"/>
    <s v="Mediana"/>
    <x v="1"/>
  </r>
  <r>
    <s v="EX100"/>
    <d v="2026-05-08T00:00:00"/>
    <s v="Comercial Azteca"/>
    <s v="P001"/>
    <x v="4"/>
    <n v="1170"/>
    <n v="6.5"/>
    <n v="4.0999999999999996"/>
    <s v="Entregado"/>
    <x v="1"/>
    <s v="Café"/>
    <x v="1"/>
    <n v="0.08"/>
    <s v="Potencial"/>
    <n v="7605"/>
    <n v="4797"/>
    <n v="2808"/>
    <n v="0.36923076923076925"/>
    <s v="Alta"/>
    <s v="Mediana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97B5AD-E99F-4E20-8D7E-0B0DF08FEBB8}" name="PT_Operaciones_Prioridad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18:H22" firstHeaderRow="1" firstDataRow="1" firstDataCol="1"/>
  <pivotFields count="21">
    <pivotField dataField="1" showAll="0"/>
    <pivotField numFmtId="165" showAll="0"/>
    <pivotField showAll="0"/>
    <pivotField showAll="0"/>
    <pivotField showAll="0"/>
    <pivotField numFmtId="3" showAll="0"/>
    <pivotField numFmtId="166" showAll="0"/>
    <pivotField numFmtId="166" showAll="0"/>
    <pivotField showAll="0"/>
    <pivotField showAll="0"/>
    <pivotField showAll="0"/>
    <pivotField showAll="0"/>
    <pivotField numFmtId="164" showAll="0"/>
    <pivotField showAll="0"/>
    <pivotField numFmtId="166" showAll="0"/>
    <pivotField numFmtId="166" showAll="0"/>
    <pivotField numFmtId="166" showAll="0"/>
    <pivotField numFmtId="164" showAll="0"/>
    <pivotField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antidad de operacion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E6691E-7BF2-4C00-8634-E5042C603705}" name="PT_ValorFOB_Region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8:B22" firstHeaderRow="1" firstDataRow="1" firstDataCol="1"/>
  <pivotFields count="21">
    <pivotField showAll="0"/>
    <pivotField numFmtId="165" showAll="0"/>
    <pivotField showAll="0"/>
    <pivotField showAll="0"/>
    <pivotField showAll="0"/>
    <pivotField numFmtId="3" showAll="0"/>
    <pivotField numFmtId="166" showAll="0"/>
    <pivotField numFmtId="166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numFmtId="164" showAll="0"/>
    <pivotField showAll="0"/>
    <pivotField dataField="1" numFmtId="166" showAll="0"/>
    <pivotField numFmtId="166" showAll="0"/>
    <pivotField numFmtId="166" showAll="0"/>
    <pivotField numFmtId="164"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Valor FOB total" fld="14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552891-2EFF-4B1A-B4A6-298B2DBDA476}" name="PT_Utilidad_Producto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4:H10" firstHeaderRow="1" firstDataRow="1" firstDataCol="1"/>
  <pivotFields count="21">
    <pivotField showAll="0"/>
    <pivotField numFmtId="165" showAll="0"/>
    <pivotField showAll="0"/>
    <pivotField showAll="0"/>
    <pivotField showAll="0"/>
    <pivotField numFmtId="3" showAll="0"/>
    <pivotField numFmtId="166" showAll="0"/>
    <pivotField numFmtId="166" showAll="0"/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numFmtId="164" showAll="0"/>
    <pivotField showAll="0"/>
    <pivotField numFmtId="166" showAll="0"/>
    <pivotField numFmtId="166" showAll="0"/>
    <pivotField dataField="1" numFmtId="166" showAll="0"/>
    <pivotField numFmtId="164"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Utilidad total" fld="16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419B9B-5693-4926-846D-465E2F68D790}" name="PT_ValorFOB_Pais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B10" firstHeaderRow="1" firstDataRow="1" firstDataCol="1"/>
  <pivotFields count="21">
    <pivotField showAll="0"/>
    <pivotField numFmtId="165" showAll="0"/>
    <pivotField showAll="0"/>
    <pivotField showAll="0"/>
    <pivotField axis="axisRow" showAll="0">
      <items count="6">
        <item x="2"/>
        <item x="1"/>
        <item x="3"/>
        <item x="0"/>
        <item x="4"/>
        <item t="default"/>
      </items>
    </pivotField>
    <pivotField numFmtId="3" showAll="0"/>
    <pivotField numFmtId="166" showAll="0"/>
    <pivotField numFmtId="166" showAll="0"/>
    <pivotField showAll="0"/>
    <pivotField showAll="0"/>
    <pivotField showAll="0"/>
    <pivotField showAll="0"/>
    <pivotField numFmtId="164" showAll="0"/>
    <pivotField showAll="0"/>
    <pivotField dataField="1" numFmtId="166" showAll="0"/>
    <pivotField numFmtId="166" showAll="0"/>
    <pivotField numFmtId="166" showAll="0"/>
    <pivotField numFmtId="164"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Valor FOB" fld="14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peracionesComercio" displayName="OperacionesComercio" ref="A3:U103" totalsRowShown="0">
  <autoFilter ref="A3:U103" xr:uid="{00000000-0009-0000-0100-000001000000}"/>
  <tableColumns count="21">
    <tableColumn id="1" xr3:uid="{00000000-0010-0000-0000-000001000000}" name="ID_Operación"/>
    <tableColumn id="2" xr3:uid="{00000000-0010-0000-0000-000002000000}" name="Fecha"/>
    <tableColumn id="3" xr3:uid="{00000000-0010-0000-0000-000003000000}" name="Cliente"/>
    <tableColumn id="4" xr3:uid="{00000000-0010-0000-0000-000004000000}" name="Código Producto"/>
    <tableColumn id="5" xr3:uid="{00000000-0010-0000-0000-000005000000}" name="País Destino"/>
    <tableColumn id="6" xr3:uid="{00000000-0010-0000-0000-000006000000}" name="Unidades"/>
    <tableColumn id="7" xr3:uid="{00000000-0010-0000-0000-000007000000}" name="Precio FOB"/>
    <tableColumn id="8" xr3:uid="{00000000-0010-0000-0000-000008000000}" name="Costo Unitario"/>
    <tableColumn id="9" xr3:uid="{00000000-0010-0000-0000-000009000000}" name="Estado"/>
    <tableColumn id="10" xr3:uid="{00000000-0010-0000-0000-00000A000000}" name="Producto"/>
    <tableColumn id="11" xr3:uid="{00000000-0010-0000-0000-00000B000000}" name="Categoría"/>
    <tableColumn id="12" xr3:uid="{00000000-0010-0000-0000-00000C000000}" name="Región"/>
    <tableColumn id="13" xr3:uid="{00000000-0010-0000-0000-00000D000000}" name="Arancel %"/>
    <tableColumn id="14" xr3:uid="{00000000-0010-0000-0000-00000E000000}" name="Clasificación mercado"/>
    <tableColumn id="15" xr3:uid="{00000000-0010-0000-0000-00000F000000}" name="Valor FOB"/>
    <tableColumn id="16" xr3:uid="{00000000-0010-0000-0000-000010000000}" name="Costo total"/>
    <tableColumn id="17" xr3:uid="{00000000-0010-0000-0000-000011000000}" name="Utilidad"/>
    <tableColumn id="18" xr3:uid="{00000000-0010-0000-0000-000012000000}" name="Margen"/>
    <tableColumn id="19" xr3:uid="{00000000-0010-0000-0000-000013000000}" name="Nivel rentabilidad"/>
    <tableColumn id="20" xr3:uid="{00000000-0010-0000-0000-000014000000}" name="Nivel operación"/>
    <tableColumn id="21" xr3:uid="{00000000-0010-0000-0000-000015000000}" name="Prioridad comerci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CCCF5B-8C6C-4C82-B483-77ABAE3E115D}">
  <we:reference id="wa200010215" version="2.0.0.0" store="es-MX" storeType="OMEX"/>
  <we:alternateReferences>
    <we:reference id="WA200010215" version="2.0.0.0" store="" storeType="OMEX"/>
  </we:alternateReferences>
  <we:properties>
    <we:property name="bps.codex_control.document_id" value="&quot;4baae092-160a-4923-9ff8-06b5189b2283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U120"/>
  <sheetViews>
    <sheetView showGridLines="0" workbookViewId="0"/>
  </sheetViews>
  <sheetFormatPr baseColWidth="10" defaultColWidth="8.796875" defaultRowHeight="13.8"/>
  <cols>
    <col min="1" max="1" width="18" customWidth="1"/>
    <col min="2" max="2" width="52" customWidth="1"/>
    <col min="3" max="3" width="34" customWidth="1"/>
    <col min="4" max="4" width="3" customWidth="1"/>
    <col min="5" max="5" width="40.796875" customWidth="1"/>
    <col min="6" max="6" width="43.296875" customWidth="1"/>
  </cols>
  <sheetData>
    <row r="1" spans="1:21" ht="19.2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8" t="s">
        <v>241</v>
      </c>
      <c r="B2" s="18"/>
      <c r="C2" s="18"/>
      <c r="D2" s="18"/>
      <c r="E2" s="18"/>
      <c r="F2" s="18"/>
      <c r="G2" s="18"/>
      <c r="H2" s="1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" customHeight="1">
      <c r="A4" s="3" t="s">
        <v>1</v>
      </c>
      <c r="B4" s="4" t="s">
        <v>2</v>
      </c>
      <c r="C4" s="5" t="s">
        <v>3</v>
      </c>
      <c r="D4" s="1"/>
      <c r="E4" s="3" t="s">
        <v>4</v>
      </c>
      <c r="F4" s="5" t="s">
        <v>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5" customHeight="1">
      <c r="A5" s="6">
        <v>1</v>
      </c>
      <c r="B5" s="43" t="s">
        <v>6</v>
      </c>
      <c r="C5" s="44">
        <f>COUNTA(Operaciones!A4:A103)</f>
        <v>100</v>
      </c>
      <c r="D5" s="1"/>
      <c r="E5" s="6" t="s">
        <v>7</v>
      </c>
      <c r="F5" s="40">
        <f>COUNTIFS(Operaciones!E4:E103,"EE.UU.")</f>
        <v>20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5" customHeight="1">
      <c r="A6" s="9">
        <v>2</v>
      </c>
      <c r="B6" s="45" t="s">
        <v>8</v>
      </c>
      <c r="C6" s="46">
        <f>COUNTIFS(Operaciones!I4:I103,"Pendiente")</f>
        <v>15</v>
      </c>
      <c r="D6" s="1"/>
      <c r="E6" s="9" t="s">
        <v>9</v>
      </c>
      <c r="F6" s="41">
        <f>COUNTIFS(Operaciones!I4:I103,"Pendiente")</f>
        <v>15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36" customHeight="1">
      <c r="A7" s="9">
        <v>3</v>
      </c>
      <c r="B7" s="45" t="s">
        <v>10</v>
      </c>
      <c r="C7" s="46" t="str">
        <f>IF(COUNTIF('Tablas y gráficos'!$Q$5:$Q$9,MAX('Tablas y gráficos'!$Q$5:$Q$9))&gt;1,"Existe empate: "&amp;COUNTIF('Tablas y gráficos'!$Q$5:$Q$9,MAX('Tablas y gráficos'!$Q$5:$Q$9))&amp;" países tienen "&amp;MAX('Tablas y gráficos'!$Q$5:$Q$9)&amp;" operaciones.",INDEX('Tablas y gráficos'!$P$5:$P$9,MATCH(MAX('Tablas y gráficos'!$Q$5:$Q$9),'Tablas y gráficos'!$Q$5:$Q$9,0))&amp;": "&amp;MAX('Tablas y gráficos'!$Q$5:$Q$9)&amp;" operaciones")</f>
        <v>Existe empate: 5 países tienen 20 operaciones.</v>
      </c>
      <c r="D7" s="1"/>
      <c r="E7" s="9" t="s">
        <v>11</v>
      </c>
      <c r="F7" s="39">
        <f>SUMIFS(Operaciones!O4:O103,Operaciones!E4:E103,"México")</f>
        <v>120313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5" customHeight="1">
      <c r="A8" s="9">
        <v>4</v>
      </c>
      <c r="B8" s="45" t="s">
        <v>12</v>
      </c>
      <c r="C8" s="46" t="str">
        <f>INDEX('Tablas y gráficos'!$A$5:$A$9,MATCH(MAX('Tablas y gráficos'!$B$5:$B$9),'Tablas y gráficos'!$B$5:$B$9,0))&amp;": US$"&amp;TEXT(MAX('Tablas y gráficos'!$B$5:$B$9),"#,##0")</f>
        <v>EE.UU.: US$168,745</v>
      </c>
      <c r="D8" s="1"/>
      <c r="E8" s="9" t="s">
        <v>13</v>
      </c>
      <c r="F8" s="41">
        <f>SUMIFS(Operaciones!F4:F103,Operaciones!E4:E103,"Guatemala")</f>
        <v>17130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5" customHeight="1">
      <c r="A9" s="9">
        <v>5</v>
      </c>
      <c r="B9" s="45" t="s">
        <v>14</v>
      </c>
      <c r="C9" s="46" t="str">
        <f>INDEX('Tablas y gráficos'!$D$5:$D$9,MATCH(MAX('Tablas y gráficos'!$F$5:$F$9),'Tablas y gráficos'!$F$5:$F$9,0))&amp;": "&amp;TEXT(MAX('Tablas y gráficos'!$F$5:$F$9),"#,##0")&amp;" unidades"</f>
        <v>Café especial: 26,180 unidades</v>
      </c>
      <c r="D9" s="1"/>
      <c r="E9" s="9" t="s">
        <v>15</v>
      </c>
      <c r="F9" s="39">
        <f>SUMIFS(Operaciones!O4:O103,Operaciones!J4:J103,"Café especial",Operaciones!E4:E103,"EE.UU.")</f>
        <v>52390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5" customHeight="1">
      <c r="A10" s="9">
        <v>6</v>
      </c>
      <c r="B10" s="45" t="s">
        <v>16</v>
      </c>
      <c r="C10" s="46" t="str">
        <f>INDEX('Tablas y gráficos'!$D$5:$D$9,MATCH(MAX('Tablas y gráficos'!$E$5:$E$9),'Tablas y gráficos'!$E$5:$E$9,0))&amp;": US$"&amp;TEXT(MAX('Tablas y gráficos'!$E$5:$E$9),"#,##0")&amp;" de utilidad"</f>
        <v>Café especial: US$62,832 de utilidad</v>
      </c>
      <c r="D10" s="1"/>
      <c r="E10" s="12" t="s">
        <v>17</v>
      </c>
      <c r="F10" s="42">
        <f>SUMIFS(Operaciones!Q4:Q103,Operaciones!L4:L103,"Centroamérica",Operaciones!I4:I103,"Entregado")</f>
        <v>33348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" customHeight="1">
      <c r="A11" s="9">
        <v>7</v>
      </c>
      <c r="B11" s="45" t="s">
        <v>18</v>
      </c>
      <c r="C11" s="46" t="str">
        <f>INDEX('Tablas y gráficos'!$A$5:$A$9,MATCH(MAX('Tablas y gráficos'!$C$5:$C$9),'Tablas y gráficos'!$C$5:$C$9,0))&amp;": "&amp;TEXT(MAX('Tablas y gráficos'!$C$5:$C$9),"0.0%")&amp;" de margen promedio"</f>
        <v>EE.UU.: 33.0% de margen promedio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5" customHeight="1">
      <c r="A12" s="9">
        <v>8</v>
      </c>
      <c r="B12" s="45" t="s">
        <v>19</v>
      </c>
      <c r="C12" s="46">
        <f>COUNTIFS(Operaciones!S4:S103,"Alta")</f>
        <v>82</v>
      </c>
      <c r="D12" s="1"/>
      <c r="E12" s="32" t="s">
        <v>20</v>
      </c>
      <c r="F12" s="3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5" customHeight="1">
      <c r="A13" s="9">
        <v>9</v>
      </c>
      <c r="B13" s="45" t="s">
        <v>21</v>
      </c>
      <c r="C13" s="47">
        <f>SUMIFS(Operaciones!O4:O103,Operaciones!L4:L103,"Centroamérica")</f>
        <v>232879</v>
      </c>
      <c r="D13" s="1"/>
      <c r="E13" s="36" t="s">
        <v>22</v>
      </c>
      <c r="F13" s="33" t="s">
        <v>23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5" customHeight="1">
      <c r="A14" s="9">
        <v>10</v>
      </c>
      <c r="B14" s="45" t="s">
        <v>24</v>
      </c>
      <c r="C14" s="47">
        <f>SUMIFS(Operaciones!O4:O103,Operaciones!L4:L103,"Norteamérica")</f>
        <v>289058</v>
      </c>
      <c r="D14" s="1"/>
      <c r="E14" s="37" t="s">
        <v>25</v>
      </c>
      <c r="F14" s="34" t="s">
        <v>26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5" customHeight="1">
      <c r="A15" s="9">
        <v>11</v>
      </c>
      <c r="B15" s="45" t="s">
        <v>27</v>
      </c>
      <c r="C15" s="47">
        <f>SUMIFS(Operaciones!O4:O103,Operaciones!L4:L103,"Europa")</f>
        <v>136328</v>
      </c>
      <c r="D15" s="1"/>
      <c r="E15" s="37" t="s">
        <v>28</v>
      </c>
      <c r="F15" s="34" t="s">
        <v>29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24" customHeight="1">
      <c r="A16" s="9">
        <v>12</v>
      </c>
      <c r="B16" s="45" t="s">
        <v>30</v>
      </c>
      <c r="C16" s="46">
        <f>COUNTIFS(Operaciones!U4:U103,"Alta")</f>
        <v>48</v>
      </c>
      <c r="D16" s="1"/>
      <c r="E16" s="37" t="s">
        <v>31</v>
      </c>
      <c r="F16" s="34" t="s">
        <v>32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5" customHeight="1">
      <c r="A17" s="9">
        <v>13</v>
      </c>
      <c r="B17" s="45" t="s">
        <v>33</v>
      </c>
      <c r="C17" s="46" t="str">
        <f>INDEX('Tablas y gráficos'!$M$5:$M$9,MATCH(MAX('Tablas y gráficos'!$N$5:$N$9),'Tablas y gráficos'!$N$5:$N$9,0))&amp;": US$"&amp;TEXT(MAX('Tablas y gráficos'!$N$5:$N$9),"#,##0")</f>
        <v>Global Foods: US$168,745</v>
      </c>
      <c r="D17" s="1"/>
      <c r="E17" s="38" t="s">
        <v>34</v>
      </c>
      <c r="F17" s="35" t="s">
        <v>35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24" customHeight="1">
      <c r="A18" s="12">
        <v>14</v>
      </c>
      <c r="B18" s="48" t="s">
        <v>36</v>
      </c>
      <c r="C18" s="49" t="str">
        <f>COUNTIF(Operaciones!$I$4:$I$103,"Pendiente")&amp;" operaciones. IDs listados en el bloque de atención."</f>
        <v>15 operaciones. IDs listados en el bloque de atención.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5" customHeight="1" thickBot="1">
      <c r="A20" s="1"/>
      <c r="B20" s="1"/>
      <c r="C20" s="1"/>
      <c r="D20" s="1"/>
      <c r="E20" s="89"/>
      <c r="F20" s="89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5" customHeight="1">
      <c r="A21" s="3" t="s">
        <v>37</v>
      </c>
      <c r="B21" s="4"/>
      <c r="C21" s="4"/>
      <c r="D21" s="4"/>
      <c r="E21" s="4"/>
      <c r="F21" s="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5" customHeight="1">
      <c r="A22" s="50" t="s">
        <v>38</v>
      </c>
      <c r="B22" s="57" t="s">
        <v>39</v>
      </c>
      <c r="C22" s="57"/>
      <c r="D22" s="57"/>
      <c r="E22" s="57"/>
      <c r="F22" s="9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5" customHeight="1">
      <c r="A23" s="51" t="s">
        <v>40</v>
      </c>
      <c r="B23" s="58" t="s">
        <v>41</v>
      </c>
      <c r="C23" s="58"/>
      <c r="D23" s="58"/>
      <c r="E23" s="58"/>
      <c r="F23" s="9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5" customHeight="1">
      <c r="A24" s="51" t="s">
        <v>42</v>
      </c>
      <c r="B24" s="58" t="s">
        <v>43</v>
      </c>
      <c r="C24" s="58"/>
      <c r="D24" s="58"/>
      <c r="E24" s="60"/>
      <c r="F24" s="6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5" customHeight="1">
      <c r="A25" s="51" t="s">
        <v>44</v>
      </c>
      <c r="B25" s="58" t="s">
        <v>45</v>
      </c>
      <c r="C25" s="58"/>
      <c r="D25" s="59"/>
      <c r="E25" s="94"/>
      <c r="F25" s="95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5" customHeight="1">
      <c r="A26" s="52" t="s">
        <v>46</v>
      </c>
      <c r="B26" s="60" t="s">
        <v>47</v>
      </c>
      <c r="C26" s="60"/>
      <c r="D26" s="60"/>
      <c r="E26" s="92"/>
      <c r="F26" s="9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5" customHeight="1">
      <c r="A29" s="3" t="s">
        <v>48</v>
      </c>
      <c r="B29" s="4"/>
      <c r="C29" s="4"/>
      <c r="D29" s="4"/>
      <c r="E29" s="4"/>
      <c r="F29" s="5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5" customHeight="1">
      <c r="A30" s="53" t="s">
        <v>49</v>
      </c>
      <c r="B30" s="62" t="s">
        <v>50</v>
      </c>
      <c r="C30" s="62"/>
      <c r="D30" s="62"/>
      <c r="E30" s="62"/>
      <c r="F30" s="6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5" customHeight="1">
      <c r="A31" s="54" t="s">
        <v>51</v>
      </c>
      <c r="B31" s="64" t="s">
        <v>52</v>
      </c>
      <c r="C31" s="64"/>
      <c r="D31" s="64"/>
      <c r="E31" s="64"/>
      <c r="F31" s="65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5" customHeight="1">
      <c r="A32" s="55" t="s">
        <v>53</v>
      </c>
      <c r="B32" s="66" t="s">
        <v>54</v>
      </c>
      <c r="C32" s="66"/>
      <c r="D32" s="66"/>
      <c r="E32" s="66"/>
      <c r="F32" s="67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5" customHeight="1">
      <c r="A35" s="32" t="s">
        <v>9</v>
      </c>
      <c r="B35" s="32"/>
      <c r="C35" s="32"/>
      <c r="D35" s="32"/>
      <c r="E35" s="32"/>
      <c r="F35" s="3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5" customHeight="1">
      <c r="A36" s="68" t="s">
        <v>55</v>
      </c>
      <c r="B36" s="69" t="s">
        <v>55</v>
      </c>
      <c r="C36" s="69" t="s">
        <v>55</v>
      </c>
      <c r="D36" s="69" t="s">
        <v>55</v>
      </c>
      <c r="E36" s="69" t="s">
        <v>55</v>
      </c>
      <c r="F36" s="70" t="s">
        <v>55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4.4" thickBot="1">
      <c r="A38" s="1"/>
      <c r="B38" s="1"/>
      <c r="C38" s="1"/>
      <c r="D38" s="1"/>
      <c r="E38" s="89" t="s">
        <v>242</v>
      </c>
      <c r="F38" s="89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>
      <c r="A39" s="1"/>
      <c r="B39" s="1"/>
      <c r="C39" s="1"/>
      <c r="D39" s="1"/>
      <c r="E39" s="1" t="s">
        <v>243</v>
      </c>
      <c r="F39" s="1">
        <f>COUNTIF(Operaciones!$E$4:$E$103,"EE.UU.")</f>
        <v>20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>
      <c r="A40" s="1"/>
      <c r="B40" s="1"/>
      <c r="C40" s="1"/>
      <c r="D40" s="1"/>
      <c r="E40" s="1" t="s">
        <v>248</v>
      </c>
      <c r="F40" s="88">
        <f>SUMIF(Operaciones!$E$4:$E$103,"México",Operaciones!$O$4:$O$103)</f>
        <v>120313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>
      <c r="A41" s="1"/>
      <c r="B41" s="1"/>
      <c r="C41" s="1"/>
      <c r="D41" s="1"/>
      <c r="E41" s="1" t="s">
        <v>249</v>
      </c>
      <c r="F41" s="88">
        <f>SUMIFS(Operaciones!$O$4:$O$103,Operaciones!$J$4:$J$103,"Café especial",Operaciones!$E$4:$E$103,"EE.UU.")</f>
        <v>52390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39.6">
      <c r="A43" s="1"/>
      <c r="B43" s="1"/>
      <c r="C43" s="1"/>
      <c r="D43" s="1"/>
      <c r="E43" s="97" t="s">
        <v>250</v>
      </c>
      <c r="F43" s="98" t="s">
        <v>251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</sheetData>
  <mergeCells count="9">
    <mergeCell ref="B30:F30"/>
    <mergeCell ref="B31:F31"/>
    <mergeCell ref="B32:F32"/>
    <mergeCell ref="A36:F36"/>
    <mergeCell ref="B22:F22"/>
    <mergeCell ref="B23:F23"/>
    <mergeCell ref="B24:F24"/>
    <mergeCell ref="B25:F25"/>
    <mergeCell ref="B26:F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U120"/>
  <sheetViews>
    <sheetView showGridLines="0" workbookViewId="0">
      <selection activeCell="P16" sqref="A16:P16"/>
    </sheetView>
  </sheetViews>
  <sheetFormatPr baseColWidth="10" defaultColWidth="8.796875" defaultRowHeight="13.8"/>
  <cols>
    <col min="1" max="2" width="18" customWidth="1"/>
    <col min="3" max="3" width="14.59765625" bestFit="1" customWidth="1"/>
    <col min="4" max="4" width="22" customWidth="1"/>
    <col min="5" max="5" width="18" customWidth="1"/>
    <col min="6" max="6" width="8.19921875" bestFit="1" customWidth="1"/>
    <col min="7" max="7" width="20" customWidth="1"/>
    <col min="8" max="8" width="18" customWidth="1"/>
    <col min="9" max="9" width="3" customWidth="1"/>
    <col min="10" max="12" width="16" customWidth="1"/>
    <col min="13" max="13" width="13.796875" bestFit="1" customWidth="1"/>
    <col min="14" max="14" width="12.19921875" bestFit="1" customWidth="1"/>
    <col min="17" max="17" width="10.796875" bestFit="1" customWidth="1"/>
  </cols>
  <sheetData>
    <row r="1" spans="1:21" ht="19.2">
      <c r="A1" s="2" t="s">
        <v>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8" t="s">
        <v>57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83" t="s">
        <v>58</v>
      </c>
      <c r="B4" s="84" t="s">
        <v>59</v>
      </c>
      <c r="C4" s="85" t="s">
        <v>240</v>
      </c>
      <c r="D4" s="83" t="s">
        <v>60</v>
      </c>
      <c r="E4" s="84" t="s">
        <v>61</v>
      </c>
      <c r="F4" s="85" t="s">
        <v>92</v>
      </c>
      <c r="G4" s="83" t="s">
        <v>62</v>
      </c>
      <c r="H4" s="84" t="s">
        <v>59</v>
      </c>
      <c r="I4" s="85"/>
      <c r="J4" s="83" t="s">
        <v>63</v>
      </c>
      <c r="K4" s="84" t="s">
        <v>64</v>
      </c>
      <c r="L4" s="85"/>
      <c r="M4" s="85" t="s">
        <v>89</v>
      </c>
      <c r="N4" s="85" t="s">
        <v>59</v>
      </c>
      <c r="O4" s="85"/>
      <c r="P4" s="85" t="s">
        <v>58</v>
      </c>
      <c r="Q4" s="85" t="s">
        <v>64</v>
      </c>
      <c r="R4" s="1"/>
      <c r="S4" s="1"/>
      <c r="T4" s="1"/>
      <c r="U4" s="1"/>
    </row>
    <row r="5" spans="1:21">
      <c r="A5" s="6" t="s">
        <v>65</v>
      </c>
      <c r="B5" s="56">
        <f>SUMIFS(Operaciones!$O$4:$O$103,Operaciones!$E$4:$E$103,$A5)</f>
        <v>168745</v>
      </c>
      <c r="C5" s="86">
        <f>AVERAGEIFS(Operaciones!$R$4:$R$103,Operaciones!$E$4:$E$103,$A5)</f>
        <v>0.33036728413004607</v>
      </c>
      <c r="D5" s="6" t="s">
        <v>66</v>
      </c>
      <c r="E5" s="56">
        <f>SUMIFS(Operaciones!$Q$4:$Q$103,Operaciones!$J$4:$J$103,$D5)</f>
        <v>62832</v>
      </c>
      <c r="F5" s="87">
        <f>SUMIFS(Operaciones!$F$4:$F$103,Operaciones!$J$4:$J$103,$D5)</f>
        <v>26180</v>
      </c>
      <c r="G5" s="6" t="s">
        <v>67</v>
      </c>
      <c r="H5" s="56">
        <f>SUMIFS(Operaciones!$O$4:$O$103,Operaciones!$L$4:$L$103,$G5)</f>
        <v>289058</v>
      </c>
      <c r="I5" s="1"/>
      <c r="J5" s="6" t="s">
        <v>68</v>
      </c>
      <c r="K5" s="8">
        <f>COUNTIFS(Operaciones!$U$4:$U$103,$J5)</f>
        <v>48</v>
      </c>
      <c r="L5" s="1"/>
      <c r="M5" s="1" t="s">
        <v>109</v>
      </c>
      <c r="N5" s="88">
        <f>SUMIFS(Operaciones!$O$4:$O$103,Operaciones!$C$4:$C$103,$M5)</f>
        <v>168745</v>
      </c>
      <c r="O5" s="1"/>
      <c r="P5" s="1" t="str">
        <f>A5</f>
        <v>EE.UU.</v>
      </c>
      <c r="Q5" s="1">
        <f>COUNTIF(Operaciones!$E$4:$E$103,$P5)</f>
        <v>20</v>
      </c>
      <c r="R5" s="1"/>
      <c r="S5" s="1"/>
      <c r="T5" s="1"/>
      <c r="U5" s="1"/>
    </row>
    <row r="6" spans="1:21">
      <c r="A6" s="9" t="s">
        <v>69</v>
      </c>
      <c r="B6" s="39">
        <f>SUMIFS(Operaciones!$O$4:$O$103,Operaciones!$E$4:$E$103,$A6)</f>
        <v>136328</v>
      </c>
      <c r="C6" s="86">
        <f>AVERAGEIFS(Operaciones!$R$4:$R$103,Operaciones!$E$4:$E$103,$A6)</f>
        <v>0.32040424208792473</v>
      </c>
      <c r="D6" s="9" t="s">
        <v>70</v>
      </c>
      <c r="E6" s="39">
        <f>SUMIFS(Operaciones!$Q$4:$Q$103,Operaciones!$J$4:$J$103,$D6)</f>
        <v>42218</v>
      </c>
      <c r="F6" s="87">
        <f>SUMIFS(Operaciones!$F$4:$F$103,Operaciones!$J$4:$J$103,$D6)</f>
        <v>11110</v>
      </c>
      <c r="G6" s="9" t="s">
        <v>71</v>
      </c>
      <c r="H6" s="39">
        <f>SUMIFS(Operaciones!$O$4:$O$103,Operaciones!$L$4:$L$103,$G6)</f>
        <v>232879</v>
      </c>
      <c r="I6" s="1"/>
      <c r="J6" s="9" t="s">
        <v>72</v>
      </c>
      <c r="K6" s="11">
        <f>COUNTIFS(Operaciones!$U$4:$U$103,$J6)</f>
        <v>46</v>
      </c>
      <c r="L6" s="1"/>
      <c r="M6" s="1" t="s">
        <v>105</v>
      </c>
      <c r="N6" s="88">
        <f>SUMIFS(Operaciones!$O$4:$O$103,Operaciones!$C$4:$C$103,$M6)</f>
        <v>119335</v>
      </c>
      <c r="O6" s="1"/>
      <c r="P6" s="1" t="str">
        <f>A6</f>
        <v>España</v>
      </c>
      <c r="Q6" s="1">
        <f>COUNTIF(Operaciones!$E$4:$E$103,$P6)</f>
        <v>20</v>
      </c>
      <c r="R6" s="1"/>
      <c r="S6" s="1"/>
      <c r="T6" s="1"/>
      <c r="U6" s="1"/>
    </row>
    <row r="7" spans="1:21">
      <c r="A7" s="9" t="s">
        <v>73</v>
      </c>
      <c r="B7" s="39">
        <f>SUMIFS(Operaciones!$O$4:$O$103,Operaciones!$E$4:$E$103,$A7)</f>
        <v>120313</v>
      </c>
      <c r="C7" s="86">
        <f>AVERAGEIFS(Operaciones!$R$4:$R$103,Operaciones!$E$4:$E$103,$A7)</f>
        <v>0.32960674365140186</v>
      </c>
      <c r="D7" s="9" t="s">
        <v>74</v>
      </c>
      <c r="E7" s="39">
        <f>SUMIFS(Operaciones!$Q$4:$Q$103,Operaciones!$J$4:$J$103,$D7)</f>
        <v>38688</v>
      </c>
      <c r="F7" s="87">
        <f>SUMIFS(Operaciones!$F$4:$F$103,Operaciones!$J$4:$J$103,$D7)</f>
        <v>24180</v>
      </c>
      <c r="G7" s="12" t="s">
        <v>75</v>
      </c>
      <c r="H7" s="42">
        <f>SUMIFS(Operaciones!$O$4:$O$103,Operaciones!$L$4:$L$103,$G7)</f>
        <v>136328</v>
      </c>
      <c r="I7" s="1"/>
      <c r="J7" s="12" t="s">
        <v>76</v>
      </c>
      <c r="K7" s="14">
        <f>COUNTIFS(Operaciones!$U$4:$U$103,$J7)</f>
        <v>6</v>
      </c>
      <c r="L7" s="1"/>
      <c r="M7" s="1" t="s">
        <v>113</v>
      </c>
      <c r="N7" s="88">
        <f>SUMIFS(Operaciones!$O$4:$O$103,Operaciones!$C$4:$C$103,$M7)</f>
        <v>113544</v>
      </c>
      <c r="O7" s="1"/>
      <c r="P7" s="1" t="str">
        <f>A7</f>
        <v>México</v>
      </c>
      <c r="Q7" s="1">
        <f>COUNTIF(Operaciones!$E$4:$E$103,$P7)</f>
        <v>20</v>
      </c>
      <c r="R7" s="1"/>
      <c r="S7" s="1"/>
      <c r="T7" s="1"/>
      <c r="U7" s="1"/>
    </row>
    <row r="8" spans="1:21">
      <c r="A8" s="9" t="s">
        <v>77</v>
      </c>
      <c r="B8" s="39">
        <f>SUMIFS(Operaciones!$O$4:$O$103,Operaciones!$E$4:$E$103,$A8)</f>
        <v>119335</v>
      </c>
      <c r="C8" s="86">
        <f>AVERAGEIFS(Operaciones!$R$4:$R$103,Operaciones!$E$4:$E$103,$A8)</f>
        <v>0.32593013591241005</v>
      </c>
      <c r="D8" s="9" t="s">
        <v>78</v>
      </c>
      <c r="E8" s="39">
        <f>SUMIFS(Operaciones!$Q$4:$Q$103,Operaciones!$J$4:$J$103,$D8)</f>
        <v>36800</v>
      </c>
      <c r="F8" s="87">
        <f>SUMIFS(Operaciones!$F$4:$F$103,Operaciones!$J$4:$J$103,$D8)</f>
        <v>16000</v>
      </c>
      <c r="G8" s="1"/>
      <c r="H8" s="1"/>
      <c r="I8" s="1"/>
      <c r="J8" s="1"/>
      <c r="K8" s="1"/>
      <c r="L8" s="1"/>
      <c r="M8" s="1" t="s">
        <v>116</v>
      </c>
      <c r="N8" s="88">
        <f>SUMIFS(Operaciones!$O$4:$O$103,Operaciones!$C$4:$C$103,$M8)</f>
        <v>136328</v>
      </c>
      <c r="O8" s="1"/>
      <c r="P8" s="1" t="str">
        <f>A8</f>
        <v>Guatemala</v>
      </c>
      <c r="Q8" s="1">
        <f>COUNTIF(Operaciones!$E$4:$E$103,$P8)</f>
        <v>20</v>
      </c>
      <c r="R8" s="1"/>
      <c r="S8" s="1"/>
      <c r="T8" s="1"/>
      <c r="U8" s="1"/>
    </row>
    <row r="9" spans="1:21">
      <c r="A9" s="12" t="s">
        <v>79</v>
      </c>
      <c r="B9" s="42">
        <f>SUMIFS(Operaciones!$O$4:$O$103,Operaciones!$E$4:$E$103,$A9)</f>
        <v>113544</v>
      </c>
      <c r="C9" s="86">
        <f>AVERAGEIFS(Operaciones!$R$4:$R$103,Operaciones!$E$4:$E$103,$A9)</f>
        <v>0.32049580459618243</v>
      </c>
      <c r="D9" s="12" t="s">
        <v>80</v>
      </c>
      <c r="E9" s="42">
        <f>SUMIFS(Operaciones!$Q$4:$Q$103,Operaciones!$J$4:$J$103,$D9)</f>
        <v>33533.999999999993</v>
      </c>
      <c r="F9" s="87">
        <f>SUMIFS(Operaciones!$F$4:$F$103,Operaciones!$J$4:$J$103,$D9)</f>
        <v>14580</v>
      </c>
      <c r="G9" s="1"/>
      <c r="H9" s="1"/>
      <c r="I9" s="1"/>
      <c r="J9" s="1"/>
      <c r="K9" s="1"/>
      <c r="L9" s="1"/>
      <c r="M9" s="1" t="s">
        <v>120</v>
      </c>
      <c r="N9" s="88">
        <f>SUMIFS(Operaciones!$O$4:$O$103,Operaciones!$C$4:$C$103,$M9)</f>
        <v>120313</v>
      </c>
      <c r="O9" s="1"/>
      <c r="P9" s="1" t="str">
        <f>A9</f>
        <v>Costa Rica</v>
      </c>
      <c r="Q9" s="1">
        <f>COUNTIF(Operaciones!$E$4:$E$103,$P9)</f>
        <v>20</v>
      </c>
      <c r="R9" s="1"/>
      <c r="S9" s="1"/>
      <c r="T9" s="1"/>
      <c r="U9" s="1"/>
    </row>
    <row r="10" spans="1:2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>
      <c r="A30" s="1"/>
      <c r="B30" s="1"/>
      <c r="C30" s="1"/>
      <c r="D30" s="1"/>
      <c r="E30" s="1"/>
      <c r="F30" s="1"/>
      <c r="G30" s="32" t="s">
        <v>81</v>
      </c>
      <c r="H30" s="32"/>
      <c r="I30" s="32"/>
      <c r="J30" s="32"/>
      <c r="K30" s="32"/>
      <c r="L30" s="32"/>
      <c r="M30" s="1"/>
      <c r="N30" s="1"/>
      <c r="O30" s="1"/>
      <c r="P30" s="1"/>
      <c r="Q30" s="1"/>
      <c r="R30" s="1"/>
      <c r="S30" s="1"/>
      <c r="T30" s="1"/>
      <c r="U30" s="1"/>
    </row>
    <row r="31" spans="1:21" ht="36" customHeight="1">
      <c r="A31" s="1"/>
      <c r="B31" s="1"/>
      <c r="C31" s="1"/>
      <c r="D31" s="1"/>
      <c r="E31" s="1"/>
      <c r="F31" s="1"/>
      <c r="G31" s="36" t="s">
        <v>58</v>
      </c>
      <c r="H31" s="71" t="s">
        <v>82</v>
      </c>
      <c r="I31" s="71"/>
      <c r="J31" s="71"/>
      <c r="K31" s="71"/>
      <c r="L31" s="72"/>
      <c r="M31" s="1"/>
      <c r="N31" s="1"/>
      <c r="O31" s="1"/>
      <c r="P31" s="1"/>
      <c r="Q31" s="1"/>
      <c r="R31" s="1"/>
      <c r="S31" s="1"/>
      <c r="T31" s="1"/>
      <c r="U31" s="1"/>
    </row>
    <row r="32" spans="1:21" ht="36" customHeight="1">
      <c r="A32" s="1"/>
      <c r="B32" s="1"/>
      <c r="C32" s="1"/>
      <c r="D32" s="1"/>
      <c r="E32" s="1"/>
      <c r="F32" s="1"/>
      <c r="G32" s="37" t="s">
        <v>60</v>
      </c>
      <c r="H32" s="73" t="s">
        <v>83</v>
      </c>
      <c r="I32" s="73"/>
      <c r="J32" s="73"/>
      <c r="K32" s="73"/>
      <c r="L32" s="74"/>
      <c r="M32" s="1"/>
      <c r="N32" s="1"/>
      <c r="O32" s="1"/>
      <c r="P32" s="1"/>
      <c r="Q32" s="1"/>
      <c r="R32" s="1"/>
      <c r="S32" s="1"/>
      <c r="T32" s="1"/>
      <c r="U32" s="1"/>
    </row>
    <row r="33" spans="1:21" ht="36" customHeight="1">
      <c r="A33" s="1"/>
      <c r="B33" s="1"/>
      <c r="C33" s="1"/>
      <c r="D33" s="1"/>
      <c r="E33" s="1"/>
      <c r="F33" s="1"/>
      <c r="G33" s="38" t="s">
        <v>62</v>
      </c>
      <c r="H33" s="75" t="s">
        <v>84</v>
      </c>
      <c r="I33" s="75"/>
      <c r="J33" s="75"/>
      <c r="K33" s="75"/>
      <c r="L33" s="76"/>
      <c r="M33" s="1"/>
      <c r="N33" s="1"/>
      <c r="O33" s="1"/>
      <c r="P33" s="1"/>
      <c r="Q33" s="1"/>
      <c r="R33" s="1"/>
      <c r="S33" s="1"/>
      <c r="T33" s="1"/>
      <c r="U33" s="1"/>
    </row>
    <row r="34" spans="1:2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</sheetData>
  <mergeCells count="3">
    <mergeCell ref="H31:L31"/>
    <mergeCell ref="H32:L32"/>
    <mergeCell ref="H33:L3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0F265-D22B-48B0-BBF6-DA6F4EB9BC8D}">
  <sheetPr>
    <tabColor rgb="FF4472C4"/>
  </sheetPr>
  <dimension ref="A1:N22"/>
  <sheetViews>
    <sheetView tabSelected="1" topLeftCell="A3" workbookViewId="0">
      <selection activeCell="K13" sqref="A13:K13"/>
    </sheetView>
  </sheetViews>
  <sheetFormatPr baseColWidth="10" defaultRowHeight="13.8"/>
  <cols>
    <col min="1" max="1" width="67.796875" bestFit="1" customWidth="1"/>
    <col min="2" max="2" width="18.09765625" bestFit="1" customWidth="1"/>
    <col min="7" max="7" width="25.8984375" bestFit="1" customWidth="1"/>
    <col min="8" max="8" width="22.796875" bestFit="1" customWidth="1"/>
  </cols>
  <sheetData>
    <row r="1" spans="1:14" ht="18" thickBot="1">
      <c r="A1" s="81" t="s">
        <v>233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</row>
    <row r="2" spans="1:14" ht="13.8" customHeight="1" thickTop="1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</row>
    <row r="3" spans="1:14">
      <c r="A3" s="96" t="s">
        <v>244</v>
      </c>
      <c r="B3" s="96"/>
      <c r="G3" s="96" t="s">
        <v>245</v>
      </c>
      <c r="H3" s="96"/>
    </row>
    <row r="4" spans="1:14">
      <c r="A4" s="77" t="s">
        <v>234</v>
      </c>
      <c r="B4" t="s">
        <v>236</v>
      </c>
      <c r="G4" s="77" t="s">
        <v>234</v>
      </c>
      <c r="H4" t="s">
        <v>237</v>
      </c>
    </row>
    <row r="5" spans="1:14">
      <c r="A5" s="78" t="s">
        <v>79</v>
      </c>
      <c r="B5" s="79">
        <v>113544</v>
      </c>
      <c r="G5" s="78" t="s">
        <v>70</v>
      </c>
      <c r="H5" s="79">
        <v>42218</v>
      </c>
    </row>
    <row r="6" spans="1:14">
      <c r="A6" s="78" t="s">
        <v>65</v>
      </c>
      <c r="B6" s="79">
        <v>168745</v>
      </c>
      <c r="G6" s="78" t="s">
        <v>78</v>
      </c>
      <c r="H6" s="79">
        <v>36800</v>
      </c>
    </row>
    <row r="7" spans="1:14">
      <c r="A7" s="78" t="s">
        <v>69</v>
      </c>
      <c r="B7" s="79">
        <v>136328</v>
      </c>
      <c r="G7" s="78" t="s">
        <v>66</v>
      </c>
      <c r="H7" s="79">
        <v>62832</v>
      </c>
    </row>
    <row r="8" spans="1:14">
      <c r="A8" s="78" t="s">
        <v>77</v>
      </c>
      <c r="B8" s="79">
        <v>119335</v>
      </c>
      <c r="G8" s="78" t="s">
        <v>80</v>
      </c>
      <c r="H8" s="79">
        <v>33533.999999999993</v>
      </c>
    </row>
    <row r="9" spans="1:14">
      <c r="A9" s="78" t="s">
        <v>73</v>
      </c>
      <c r="B9" s="79">
        <v>120313</v>
      </c>
      <c r="G9" s="78" t="s">
        <v>74</v>
      </c>
      <c r="H9" s="79">
        <v>38688</v>
      </c>
    </row>
    <row r="10" spans="1:14">
      <c r="A10" s="78" t="s">
        <v>235</v>
      </c>
      <c r="B10" s="79">
        <v>658265</v>
      </c>
      <c r="G10" s="78" t="s">
        <v>235</v>
      </c>
      <c r="H10" s="79">
        <v>214072</v>
      </c>
    </row>
    <row r="17" spans="1:8">
      <c r="A17" s="96" t="s">
        <v>246</v>
      </c>
      <c r="B17" s="96"/>
      <c r="G17" s="96" t="s">
        <v>247</v>
      </c>
      <c r="H17" s="96"/>
    </row>
    <row r="18" spans="1:8">
      <c r="A18" s="77" t="s">
        <v>234</v>
      </c>
      <c r="B18" t="s">
        <v>238</v>
      </c>
      <c r="G18" s="77" t="s">
        <v>234</v>
      </c>
      <c r="H18" t="s">
        <v>239</v>
      </c>
    </row>
    <row r="19" spans="1:8">
      <c r="A19" s="78" t="s">
        <v>71</v>
      </c>
      <c r="B19" s="79">
        <v>232879</v>
      </c>
      <c r="G19" s="78" t="s">
        <v>68</v>
      </c>
      <c r="H19" s="80">
        <v>48</v>
      </c>
    </row>
    <row r="20" spans="1:8">
      <c r="A20" s="78" t="s">
        <v>75</v>
      </c>
      <c r="B20" s="79">
        <v>136328</v>
      </c>
      <c r="G20" s="78" t="s">
        <v>76</v>
      </c>
      <c r="H20" s="80">
        <v>6</v>
      </c>
    </row>
    <row r="21" spans="1:8">
      <c r="A21" s="78" t="s">
        <v>67</v>
      </c>
      <c r="B21" s="79">
        <v>289058</v>
      </c>
      <c r="G21" s="78" t="s">
        <v>72</v>
      </c>
      <c r="H21" s="80">
        <v>46</v>
      </c>
    </row>
    <row r="22" spans="1:8">
      <c r="A22" s="78" t="s">
        <v>235</v>
      </c>
      <c r="B22" s="79">
        <v>658265</v>
      </c>
      <c r="G22" s="78" t="s">
        <v>235</v>
      </c>
      <c r="H22" s="80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U120"/>
  <sheetViews>
    <sheetView showGridLines="0" workbookViewId="0">
      <pane xSplit="2" ySplit="3" topLeftCell="M19" activePane="bottomRight" state="frozen"/>
      <selection pane="topRight"/>
      <selection pane="bottomLeft"/>
      <selection pane="bottomRight" activeCell="L30" sqref="L30:U30"/>
    </sheetView>
  </sheetViews>
  <sheetFormatPr baseColWidth="10" defaultColWidth="8.796875" defaultRowHeight="13.8"/>
  <cols>
    <col min="1" max="1" width="13" customWidth="1"/>
    <col min="2" max="2" width="12" customWidth="1"/>
    <col min="3" max="3" width="21" customWidth="1"/>
    <col min="4" max="4" width="12" customWidth="1"/>
    <col min="5" max="5" width="16" customWidth="1"/>
    <col min="6" max="6" width="11" customWidth="1"/>
    <col min="7" max="9" width="13" customWidth="1"/>
    <col min="10" max="10" width="20" customWidth="1"/>
    <col min="11" max="11" width="16" customWidth="1"/>
    <col min="12" max="12" width="18" customWidth="1"/>
    <col min="13" max="13" width="12" customWidth="1"/>
    <col min="14" max="14" width="20" customWidth="1"/>
    <col min="15" max="17" width="15" customWidth="1"/>
    <col min="18" max="18" width="11" customWidth="1"/>
    <col min="19" max="19" width="17" customWidth="1"/>
    <col min="20" max="20" width="15" customWidth="1"/>
    <col min="21" max="21" width="17" customWidth="1"/>
  </cols>
  <sheetData>
    <row r="1" spans="1:21" ht="19.2">
      <c r="A1" s="2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8" t="s">
        <v>86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ht="26.4">
      <c r="A3" s="19" t="s">
        <v>87</v>
      </c>
      <c r="B3" s="20" t="s">
        <v>88</v>
      </c>
      <c r="C3" s="20" t="s">
        <v>89</v>
      </c>
      <c r="D3" s="20" t="s">
        <v>90</v>
      </c>
      <c r="E3" s="20" t="s">
        <v>91</v>
      </c>
      <c r="F3" s="20" t="s">
        <v>92</v>
      </c>
      <c r="G3" s="20" t="s">
        <v>93</v>
      </c>
      <c r="H3" s="20" t="s">
        <v>94</v>
      </c>
      <c r="I3" s="20" t="s">
        <v>95</v>
      </c>
      <c r="J3" s="20" t="s">
        <v>60</v>
      </c>
      <c r="K3" s="20" t="s">
        <v>96</v>
      </c>
      <c r="L3" s="20" t="s">
        <v>62</v>
      </c>
      <c r="M3" s="20" t="s">
        <v>97</v>
      </c>
      <c r="N3" s="20" t="s">
        <v>98</v>
      </c>
      <c r="O3" s="20" t="s">
        <v>59</v>
      </c>
      <c r="P3" s="20" t="s">
        <v>99</v>
      </c>
      <c r="Q3" s="20" t="s">
        <v>61</v>
      </c>
      <c r="R3" s="20" t="s">
        <v>100</v>
      </c>
      <c r="S3" s="20" t="s">
        <v>101</v>
      </c>
      <c r="T3" s="20" t="s">
        <v>102</v>
      </c>
      <c r="U3" s="21" t="s">
        <v>103</v>
      </c>
    </row>
    <row r="4" spans="1:21">
      <c r="A4" s="6" t="s">
        <v>104</v>
      </c>
      <c r="B4" s="22">
        <v>46027</v>
      </c>
      <c r="C4" s="7" t="s">
        <v>105</v>
      </c>
      <c r="D4" s="7" t="s">
        <v>106</v>
      </c>
      <c r="E4" s="7" t="s">
        <v>77</v>
      </c>
      <c r="F4" s="25">
        <v>850</v>
      </c>
      <c r="G4" s="28">
        <v>4.8</v>
      </c>
      <c r="H4" s="28">
        <v>3.2</v>
      </c>
      <c r="I4" s="7" t="s">
        <v>107</v>
      </c>
      <c r="J4" s="7" t="str">
        <f>VLOOKUP(D4,Productos!$A$4:$D$8,2,FALSE)</f>
        <v>Miel natural</v>
      </c>
      <c r="K4" s="7" t="str">
        <f>VLOOKUP(D4,Productos!$A$4:$D$8,3,FALSE)</f>
        <v>Apícola</v>
      </c>
      <c r="L4" s="7" t="str">
        <f>VLOOKUP(E4,Mercados!$A$4:$D$9,2,FALSE)</f>
        <v>Centroamérica</v>
      </c>
      <c r="M4" s="15">
        <f>VLOOKUP(E4,Mercados!$A$4:$D$9,3,FALSE)</f>
        <v>0.03</v>
      </c>
      <c r="N4" s="7" t="str">
        <f>VLOOKUP(E4,Mercados!$A$4:$D$9,4,FALSE)</f>
        <v>Estratégico</v>
      </c>
      <c r="O4" s="28">
        <f t="shared" ref="O4:O35" si="0">F4*G4</f>
        <v>4080</v>
      </c>
      <c r="P4" s="28">
        <f t="shared" ref="P4:P35" si="1">F4*H4</f>
        <v>2720</v>
      </c>
      <c r="Q4" s="28">
        <f t="shared" ref="Q4:Q35" si="2">O4-P4</f>
        <v>1360</v>
      </c>
      <c r="R4" s="15">
        <f t="shared" ref="R4:R35" si="3">Q4/O4</f>
        <v>0.33333333333333331</v>
      </c>
      <c r="S4" s="7" t="str">
        <f t="shared" ref="S4:S35" si="4">IF(R4&gt;=30%,"Alta",IF(R4&gt;=15%,"Media","Baja"))</f>
        <v>Alta</v>
      </c>
      <c r="T4" s="7" t="str">
        <f t="shared" ref="T4:T35" si="5">IF(O4&gt;=10000,"Grande",IF(O4&gt;=5000,"Mediana","Pequeña"))</f>
        <v>Pequeña</v>
      </c>
      <c r="U4" s="8" t="str">
        <f t="shared" ref="U4:U35" si="6">IF(AND(N4="Estratégico",R4&gt;=30%),"Alta",IF(AND(N4="Estratégico",R4&lt;30%),"Media",IF(AND(N4="Potencial",R4&gt;=30%),"Media","Baja")))</f>
        <v>Alta</v>
      </c>
    </row>
    <row r="5" spans="1:21">
      <c r="A5" s="9" t="s">
        <v>108</v>
      </c>
      <c r="B5" s="23">
        <v>46034</v>
      </c>
      <c r="C5" s="10" t="s">
        <v>109</v>
      </c>
      <c r="D5" s="10" t="s">
        <v>110</v>
      </c>
      <c r="E5" s="10" t="s">
        <v>65</v>
      </c>
      <c r="F5" s="26">
        <v>1200</v>
      </c>
      <c r="G5" s="29">
        <v>6.5</v>
      </c>
      <c r="H5" s="29">
        <v>4.0999999999999996</v>
      </c>
      <c r="I5" s="10" t="s">
        <v>111</v>
      </c>
      <c r="J5" s="10" t="str">
        <f>VLOOKUP(D5,Productos!$A$4:$D$8,2,FALSE)</f>
        <v>Café especial</v>
      </c>
      <c r="K5" s="10" t="str">
        <f>VLOOKUP(D5,Productos!$A$4:$D$8,3,FALSE)</f>
        <v>Café</v>
      </c>
      <c r="L5" s="10" t="str">
        <f>VLOOKUP(E5,Mercados!$A$4:$D$9,2,FALSE)</f>
        <v>Norteamérica</v>
      </c>
      <c r="M5" s="16">
        <f>VLOOKUP(E5,Mercados!$A$4:$D$9,3,FALSE)</f>
        <v>0.05</v>
      </c>
      <c r="N5" s="10" t="str">
        <f>VLOOKUP(E5,Mercados!$A$4:$D$9,4,FALSE)</f>
        <v>Estratégico</v>
      </c>
      <c r="O5" s="29">
        <f t="shared" si="0"/>
        <v>7800</v>
      </c>
      <c r="P5" s="29">
        <f t="shared" si="1"/>
        <v>4920</v>
      </c>
      <c r="Q5" s="29">
        <f t="shared" si="2"/>
        <v>2880</v>
      </c>
      <c r="R5" s="16">
        <f t="shared" si="3"/>
        <v>0.36923076923076925</v>
      </c>
      <c r="S5" s="10" t="str">
        <f t="shared" si="4"/>
        <v>Alta</v>
      </c>
      <c r="T5" s="10" t="str">
        <f t="shared" si="5"/>
        <v>Mediana</v>
      </c>
      <c r="U5" s="11" t="str">
        <f t="shared" si="6"/>
        <v>Alta</v>
      </c>
    </row>
    <row r="6" spans="1:21">
      <c r="A6" s="9" t="s">
        <v>112</v>
      </c>
      <c r="B6" s="23">
        <v>46042</v>
      </c>
      <c r="C6" s="10" t="s">
        <v>113</v>
      </c>
      <c r="D6" s="10" t="s">
        <v>114</v>
      </c>
      <c r="E6" s="10" t="s">
        <v>79</v>
      </c>
      <c r="F6" s="26">
        <v>650</v>
      </c>
      <c r="G6" s="29">
        <v>8.1999999999999993</v>
      </c>
      <c r="H6" s="29">
        <v>5.9</v>
      </c>
      <c r="I6" s="10" t="s">
        <v>107</v>
      </c>
      <c r="J6" s="10" t="str">
        <f>VLOOKUP(D6,Productos!$A$4:$D$8,2,FALSE)</f>
        <v>Maní procesado</v>
      </c>
      <c r="K6" s="10" t="str">
        <f>VLOOKUP(D6,Productos!$A$4:$D$8,3,FALSE)</f>
        <v>Semillas</v>
      </c>
      <c r="L6" s="10" t="str">
        <f>VLOOKUP(E6,Mercados!$A$4:$D$9,2,FALSE)</f>
        <v>Centroamérica</v>
      </c>
      <c r="M6" s="16">
        <f>VLOOKUP(E6,Mercados!$A$4:$D$9,3,FALSE)</f>
        <v>0.02</v>
      </c>
      <c r="N6" s="10" t="str">
        <f>VLOOKUP(E6,Mercados!$A$4:$D$9,4,FALSE)</f>
        <v>Estratégico</v>
      </c>
      <c r="O6" s="29">
        <f t="shared" si="0"/>
        <v>5329.9999999999991</v>
      </c>
      <c r="P6" s="29">
        <f t="shared" si="1"/>
        <v>3835.0000000000005</v>
      </c>
      <c r="Q6" s="29">
        <f t="shared" si="2"/>
        <v>1494.9999999999986</v>
      </c>
      <c r="R6" s="16">
        <f t="shared" si="3"/>
        <v>0.28048780487804859</v>
      </c>
      <c r="S6" s="10" t="str">
        <f t="shared" si="4"/>
        <v>Media</v>
      </c>
      <c r="T6" s="10" t="str">
        <f t="shared" si="5"/>
        <v>Mediana</v>
      </c>
      <c r="U6" s="11" t="str">
        <f t="shared" si="6"/>
        <v>Media</v>
      </c>
    </row>
    <row r="7" spans="1:21">
      <c r="A7" s="9" t="s">
        <v>115</v>
      </c>
      <c r="B7" s="23">
        <v>46056</v>
      </c>
      <c r="C7" s="10" t="s">
        <v>116</v>
      </c>
      <c r="D7" s="10" t="s">
        <v>117</v>
      </c>
      <c r="E7" s="10" t="s">
        <v>69</v>
      </c>
      <c r="F7" s="26">
        <v>950</v>
      </c>
      <c r="G7" s="29">
        <v>7.1</v>
      </c>
      <c r="H7" s="29">
        <v>4.8</v>
      </c>
      <c r="I7" s="10" t="s">
        <v>118</v>
      </c>
      <c r="J7" s="10" t="str">
        <f>VLOOKUP(D7,Productos!$A$4:$D$8,2,FALSE)</f>
        <v>Cacao en grano</v>
      </c>
      <c r="K7" s="10" t="str">
        <f>VLOOKUP(D7,Productos!$A$4:$D$8,3,FALSE)</f>
        <v>Cacao</v>
      </c>
      <c r="L7" s="10" t="str">
        <f>VLOOKUP(E7,Mercados!$A$4:$D$9,2,FALSE)</f>
        <v>Europa</v>
      </c>
      <c r="M7" s="16">
        <f>VLOOKUP(E7,Mercados!$A$4:$D$9,3,FALSE)</f>
        <v>0.1</v>
      </c>
      <c r="N7" s="10" t="str">
        <f>VLOOKUP(E7,Mercados!$A$4:$D$9,4,FALSE)</f>
        <v>Potencial</v>
      </c>
      <c r="O7" s="29">
        <f t="shared" si="0"/>
        <v>6745</v>
      </c>
      <c r="P7" s="29">
        <f t="shared" si="1"/>
        <v>4560</v>
      </c>
      <c r="Q7" s="29">
        <f t="shared" si="2"/>
        <v>2185</v>
      </c>
      <c r="R7" s="16">
        <f t="shared" si="3"/>
        <v>0.323943661971831</v>
      </c>
      <c r="S7" s="10" t="str">
        <f t="shared" si="4"/>
        <v>Alta</v>
      </c>
      <c r="T7" s="10" t="str">
        <f t="shared" si="5"/>
        <v>Mediana</v>
      </c>
      <c r="U7" s="11" t="str">
        <f t="shared" si="6"/>
        <v>Media</v>
      </c>
    </row>
    <row r="8" spans="1:21">
      <c r="A8" s="9" t="s">
        <v>119</v>
      </c>
      <c r="B8" s="23">
        <v>46068</v>
      </c>
      <c r="C8" s="10" t="s">
        <v>120</v>
      </c>
      <c r="D8" s="10" t="s">
        <v>121</v>
      </c>
      <c r="E8" s="10" t="s">
        <v>73</v>
      </c>
      <c r="F8" s="26">
        <v>500</v>
      </c>
      <c r="G8" s="29">
        <v>12.5</v>
      </c>
      <c r="H8" s="29">
        <v>8.6999999999999993</v>
      </c>
      <c r="I8" s="10" t="s">
        <v>111</v>
      </c>
      <c r="J8" s="10" t="str">
        <f>VLOOKUP(D8,Productos!$A$4:$D$8,2,FALSE)</f>
        <v>Aceite de ajonjolí</v>
      </c>
      <c r="K8" s="10" t="str">
        <f>VLOOKUP(D8,Productos!$A$4:$D$8,3,FALSE)</f>
        <v>Aceites</v>
      </c>
      <c r="L8" s="10" t="str">
        <f>VLOOKUP(E8,Mercados!$A$4:$D$9,2,FALSE)</f>
        <v>Norteamérica</v>
      </c>
      <c r="M8" s="16">
        <f>VLOOKUP(E8,Mercados!$A$4:$D$9,3,FALSE)</f>
        <v>0.08</v>
      </c>
      <c r="N8" s="10" t="str">
        <f>VLOOKUP(E8,Mercados!$A$4:$D$9,4,FALSE)</f>
        <v>Potencial</v>
      </c>
      <c r="O8" s="29">
        <f t="shared" si="0"/>
        <v>6250</v>
      </c>
      <c r="P8" s="29">
        <f t="shared" si="1"/>
        <v>4350</v>
      </c>
      <c r="Q8" s="29">
        <f t="shared" si="2"/>
        <v>1900</v>
      </c>
      <c r="R8" s="16">
        <f t="shared" si="3"/>
        <v>0.30399999999999999</v>
      </c>
      <c r="S8" s="10" t="str">
        <f t="shared" si="4"/>
        <v>Alta</v>
      </c>
      <c r="T8" s="10" t="str">
        <f t="shared" si="5"/>
        <v>Mediana</v>
      </c>
      <c r="U8" s="11" t="str">
        <f t="shared" si="6"/>
        <v>Media</v>
      </c>
    </row>
    <row r="9" spans="1:21">
      <c r="A9" s="9" t="s">
        <v>122</v>
      </c>
      <c r="B9" s="23">
        <v>46081</v>
      </c>
      <c r="C9" s="10" t="s">
        <v>109</v>
      </c>
      <c r="D9" s="10" t="s">
        <v>106</v>
      </c>
      <c r="E9" s="10" t="s">
        <v>65</v>
      </c>
      <c r="F9" s="26">
        <v>1400</v>
      </c>
      <c r="G9" s="29">
        <v>4.8</v>
      </c>
      <c r="H9" s="29">
        <v>3.2</v>
      </c>
      <c r="I9" s="10" t="s">
        <v>111</v>
      </c>
      <c r="J9" s="10" t="str">
        <f>VLOOKUP(D9,Productos!$A$4:$D$8,2,FALSE)</f>
        <v>Miel natural</v>
      </c>
      <c r="K9" s="10" t="str">
        <f>VLOOKUP(D9,Productos!$A$4:$D$8,3,FALSE)</f>
        <v>Apícola</v>
      </c>
      <c r="L9" s="10" t="str">
        <f>VLOOKUP(E9,Mercados!$A$4:$D$9,2,FALSE)</f>
        <v>Norteamérica</v>
      </c>
      <c r="M9" s="16">
        <f>VLOOKUP(E9,Mercados!$A$4:$D$9,3,FALSE)</f>
        <v>0.05</v>
      </c>
      <c r="N9" s="10" t="str">
        <f>VLOOKUP(E9,Mercados!$A$4:$D$9,4,FALSE)</f>
        <v>Estratégico</v>
      </c>
      <c r="O9" s="29">
        <f t="shared" si="0"/>
        <v>6720</v>
      </c>
      <c r="P9" s="29">
        <f t="shared" si="1"/>
        <v>4480</v>
      </c>
      <c r="Q9" s="29">
        <f t="shared" si="2"/>
        <v>2240</v>
      </c>
      <c r="R9" s="16">
        <f t="shared" si="3"/>
        <v>0.33333333333333331</v>
      </c>
      <c r="S9" s="10" t="str">
        <f t="shared" si="4"/>
        <v>Alta</v>
      </c>
      <c r="T9" s="10" t="str">
        <f t="shared" si="5"/>
        <v>Mediana</v>
      </c>
      <c r="U9" s="11" t="str">
        <f t="shared" si="6"/>
        <v>Alta</v>
      </c>
    </row>
    <row r="10" spans="1:21">
      <c r="A10" s="9" t="s">
        <v>123</v>
      </c>
      <c r="B10" s="23">
        <v>46089</v>
      </c>
      <c r="C10" s="10" t="s">
        <v>113</v>
      </c>
      <c r="D10" s="10" t="s">
        <v>110</v>
      </c>
      <c r="E10" s="10" t="s">
        <v>79</v>
      </c>
      <c r="F10" s="26">
        <v>900</v>
      </c>
      <c r="G10" s="29">
        <v>6.5</v>
      </c>
      <c r="H10" s="29">
        <v>4.0999999999999996</v>
      </c>
      <c r="I10" s="10" t="s">
        <v>107</v>
      </c>
      <c r="J10" s="10" t="str">
        <f>VLOOKUP(D10,Productos!$A$4:$D$8,2,FALSE)</f>
        <v>Café especial</v>
      </c>
      <c r="K10" s="10" t="str">
        <f>VLOOKUP(D10,Productos!$A$4:$D$8,3,FALSE)</f>
        <v>Café</v>
      </c>
      <c r="L10" s="10" t="str">
        <f>VLOOKUP(E10,Mercados!$A$4:$D$9,2,FALSE)</f>
        <v>Centroamérica</v>
      </c>
      <c r="M10" s="16">
        <f>VLOOKUP(E10,Mercados!$A$4:$D$9,3,FALSE)</f>
        <v>0.02</v>
      </c>
      <c r="N10" s="10" t="str">
        <f>VLOOKUP(E10,Mercados!$A$4:$D$9,4,FALSE)</f>
        <v>Estratégico</v>
      </c>
      <c r="O10" s="29">
        <f t="shared" si="0"/>
        <v>5850</v>
      </c>
      <c r="P10" s="29">
        <f t="shared" si="1"/>
        <v>3689.9999999999995</v>
      </c>
      <c r="Q10" s="29">
        <f t="shared" si="2"/>
        <v>2160.0000000000005</v>
      </c>
      <c r="R10" s="16">
        <f t="shared" si="3"/>
        <v>0.36923076923076931</v>
      </c>
      <c r="S10" s="10" t="str">
        <f t="shared" si="4"/>
        <v>Alta</v>
      </c>
      <c r="T10" s="10" t="str">
        <f t="shared" si="5"/>
        <v>Mediana</v>
      </c>
      <c r="U10" s="11" t="str">
        <f t="shared" si="6"/>
        <v>Alta</v>
      </c>
    </row>
    <row r="11" spans="1:21">
      <c r="A11" s="9" t="s">
        <v>124</v>
      </c>
      <c r="B11" s="23">
        <v>46099</v>
      </c>
      <c r="C11" s="10" t="s">
        <v>105</v>
      </c>
      <c r="D11" s="10" t="s">
        <v>114</v>
      </c>
      <c r="E11" s="10" t="s">
        <v>77</v>
      </c>
      <c r="F11" s="26">
        <v>750</v>
      </c>
      <c r="G11" s="29">
        <v>8.1999999999999993</v>
      </c>
      <c r="H11" s="29">
        <v>5.9</v>
      </c>
      <c r="I11" s="10" t="s">
        <v>111</v>
      </c>
      <c r="J11" s="10" t="str">
        <f>VLOOKUP(D11,Productos!$A$4:$D$8,2,FALSE)</f>
        <v>Maní procesado</v>
      </c>
      <c r="K11" s="10" t="str">
        <f>VLOOKUP(D11,Productos!$A$4:$D$8,3,FALSE)</f>
        <v>Semillas</v>
      </c>
      <c r="L11" s="10" t="str">
        <f>VLOOKUP(E11,Mercados!$A$4:$D$9,2,FALSE)</f>
        <v>Centroamérica</v>
      </c>
      <c r="M11" s="16">
        <f>VLOOKUP(E11,Mercados!$A$4:$D$9,3,FALSE)</f>
        <v>0.03</v>
      </c>
      <c r="N11" s="10" t="str">
        <f>VLOOKUP(E11,Mercados!$A$4:$D$9,4,FALSE)</f>
        <v>Estratégico</v>
      </c>
      <c r="O11" s="29">
        <f t="shared" si="0"/>
        <v>6149.9999999999991</v>
      </c>
      <c r="P11" s="29">
        <f t="shared" si="1"/>
        <v>4425</v>
      </c>
      <c r="Q11" s="29">
        <f t="shared" si="2"/>
        <v>1724.9999999999991</v>
      </c>
      <c r="R11" s="16">
        <f t="shared" si="3"/>
        <v>0.2804878048780487</v>
      </c>
      <c r="S11" s="10" t="str">
        <f t="shared" si="4"/>
        <v>Media</v>
      </c>
      <c r="T11" s="10" t="str">
        <f t="shared" si="5"/>
        <v>Mediana</v>
      </c>
      <c r="U11" s="11" t="str">
        <f t="shared" si="6"/>
        <v>Media</v>
      </c>
    </row>
    <row r="12" spans="1:21">
      <c r="A12" s="9" t="s">
        <v>125</v>
      </c>
      <c r="B12" s="23">
        <v>46106</v>
      </c>
      <c r="C12" s="10" t="s">
        <v>116</v>
      </c>
      <c r="D12" s="10" t="s">
        <v>121</v>
      </c>
      <c r="E12" s="10" t="s">
        <v>69</v>
      </c>
      <c r="F12" s="26">
        <v>600</v>
      </c>
      <c r="G12" s="29">
        <v>12.5</v>
      </c>
      <c r="H12" s="29">
        <v>8.6999999999999993</v>
      </c>
      <c r="I12" s="10" t="s">
        <v>107</v>
      </c>
      <c r="J12" s="10" t="str">
        <f>VLOOKUP(D12,Productos!$A$4:$D$8,2,FALSE)</f>
        <v>Aceite de ajonjolí</v>
      </c>
      <c r="K12" s="10" t="str">
        <f>VLOOKUP(D12,Productos!$A$4:$D$8,3,FALSE)</f>
        <v>Aceites</v>
      </c>
      <c r="L12" s="10" t="str">
        <f>VLOOKUP(E12,Mercados!$A$4:$D$9,2,FALSE)</f>
        <v>Europa</v>
      </c>
      <c r="M12" s="16">
        <f>VLOOKUP(E12,Mercados!$A$4:$D$9,3,FALSE)</f>
        <v>0.1</v>
      </c>
      <c r="N12" s="10" t="str">
        <f>VLOOKUP(E12,Mercados!$A$4:$D$9,4,FALSE)</f>
        <v>Potencial</v>
      </c>
      <c r="O12" s="29">
        <f t="shared" si="0"/>
        <v>7500</v>
      </c>
      <c r="P12" s="29">
        <f t="shared" si="1"/>
        <v>5220</v>
      </c>
      <c r="Q12" s="29">
        <f t="shared" si="2"/>
        <v>2280</v>
      </c>
      <c r="R12" s="16">
        <f t="shared" si="3"/>
        <v>0.30399999999999999</v>
      </c>
      <c r="S12" s="10" t="str">
        <f t="shared" si="4"/>
        <v>Alta</v>
      </c>
      <c r="T12" s="10" t="str">
        <f t="shared" si="5"/>
        <v>Mediana</v>
      </c>
      <c r="U12" s="11" t="str">
        <f t="shared" si="6"/>
        <v>Media</v>
      </c>
    </row>
    <row r="13" spans="1:21">
      <c r="A13" s="9" t="s">
        <v>126</v>
      </c>
      <c r="B13" s="23">
        <v>46114</v>
      </c>
      <c r="C13" s="10" t="s">
        <v>120</v>
      </c>
      <c r="D13" s="10" t="s">
        <v>117</v>
      </c>
      <c r="E13" s="10" t="s">
        <v>73</v>
      </c>
      <c r="F13" s="26">
        <v>1100</v>
      </c>
      <c r="G13" s="29">
        <v>7.1</v>
      </c>
      <c r="H13" s="29">
        <v>4.8</v>
      </c>
      <c r="I13" s="10" t="s">
        <v>111</v>
      </c>
      <c r="J13" s="10" t="str">
        <f>VLOOKUP(D13,Productos!$A$4:$D$8,2,FALSE)</f>
        <v>Cacao en grano</v>
      </c>
      <c r="K13" s="10" t="str">
        <f>VLOOKUP(D13,Productos!$A$4:$D$8,3,FALSE)</f>
        <v>Cacao</v>
      </c>
      <c r="L13" s="10" t="str">
        <f>VLOOKUP(E13,Mercados!$A$4:$D$9,2,FALSE)</f>
        <v>Norteamérica</v>
      </c>
      <c r="M13" s="16">
        <f>VLOOKUP(E13,Mercados!$A$4:$D$9,3,FALSE)</f>
        <v>0.08</v>
      </c>
      <c r="N13" s="10" t="str">
        <f>VLOOKUP(E13,Mercados!$A$4:$D$9,4,FALSE)</f>
        <v>Potencial</v>
      </c>
      <c r="O13" s="29">
        <f t="shared" si="0"/>
        <v>7810</v>
      </c>
      <c r="P13" s="29">
        <f t="shared" si="1"/>
        <v>5280</v>
      </c>
      <c r="Q13" s="29">
        <f t="shared" si="2"/>
        <v>2530</v>
      </c>
      <c r="R13" s="16">
        <f t="shared" si="3"/>
        <v>0.323943661971831</v>
      </c>
      <c r="S13" s="10" t="str">
        <f t="shared" si="4"/>
        <v>Alta</v>
      </c>
      <c r="T13" s="10" t="str">
        <f t="shared" si="5"/>
        <v>Mediana</v>
      </c>
      <c r="U13" s="11" t="str">
        <f t="shared" si="6"/>
        <v>Media</v>
      </c>
    </row>
    <row r="14" spans="1:21">
      <c r="A14" s="9" t="s">
        <v>127</v>
      </c>
      <c r="B14" s="23">
        <v>46122</v>
      </c>
      <c r="C14" s="10" t="s">
        <v>109</v>
      </c>
      <c r="D14" s="10" t="s">
        <v>114</v>
      </c>
      <c r="E14" s="10" t="s">
        <v>65</v>
      </c>
      <c r="F14" s="26">
        <v>1300</v>
      </c>
      <c r="G14" s="29">
        <v>8.1999999999999993</v>
      </c>
      <c r="H14" s="29">
        <v>5.9</v>
      </c>
      <c r="I14" s="10" t="s">
        <v>111</v>
      </c>
      <c r="J14" s="10" t="str">
        <f>VLOOKUP(D14,Productos!$A$4:$D$8,2,FALSE)</f>
        <v>Maní procesado</v>
      </c>
      <c r="K14" s="10" t="str">
        <f>VLOOKUP(D14,Productos!$A$4:$D$8,3,FALSE)</f>
        <v>Semillas</v>
      </c>
      <c r="L14" s="10" t="str">
        <f>VLOOKUP(E14,Mercados!$A$4:$D$9,2,FALSE)</f>
        <v>Norteamérica</v>
      </c>
      <c r="M14" s="16">
        <f>VLOOKUP(E14,Mercados!$A$4:$D$9,3,FALSE)</f>
        <v>0.05</v>
      </c>
      <c r="N14" s="10" t="str">
        <f>VLOOKUP(E14,Mercados!$A$4:$D$9,4,FALSE)</f>
        <v>Estratégico</v>
      </c>
      <c r="O14" s="29">
        <f t="shared" si="0"/>
        <v>10659.999999999998</v>
      </c>
      <c r="P14" s="29">
        <f t="shared" si="1"/>
        <v>7670.0000000000009</v>
      </c>
      <c r="Q14" s="29">
        <f t="shared" si="2"/>
        <v>2989.9999999999973</v>
      </c>
      <c r="R14" s="16">
        <f t="shared" si="3"/>
        <v>0.28048780487804859</v>
      </c>
      <c r="S14" s="10" t="str">
        <f t="shared" si="4"/>
        <v>Media</v>
      </c>
      <c r="T14" s="10" t="str">
        <f t="shared" si="5"/>
        <v>Grande</v>
      </c>
      <c r="U14" s="11" t="str">
        <f t="shared" si="6"/>
        <v>Media</v>
      </c>
    </row>
    <row r="15" spans="1:21">
      <c r="A15" s="9" t="s">
        <v>128</v>
      </c>
      <c r="B15" s="23">
        <v>46130</v>
      </c>
      <c r="C15" s="10" t="s">
        <v>105</v>
      </c>
      <c r="D15" s="10" t="s">
        <v>110</v>
      </c>
      <c r="E15" s="10" t="s">
        <v>77</v>
      </c>
      <c r="F15" s="26">
        <v>700</v>
      </c>
      <c r="G15" s="29">
        <v>6.5</v>
      </c>
      <c r="H15" s="29">
        <v>4.0999999999999996</v>
      </c>
      <c r="I15" s="10" t="s">
        <v>118</v>
      </c>
      <c r="J15" s="10" t="str">
        <f>VLOOKUP(D15,Productos!$A$4:$D$8,2,FALSE)</f>
        <v>Café especial</v>
      </c>
      <c r="K15" s="10" t="str">
        <f>VLOOKUP(D15,Productos!$A$4:$D$8,3,FALSE)</f>
        <v>Café</v>
      </c>
      <c r="L15" s="10" t="str">
        <f>VLOOKUP(E15,Mercados!$A$4:$D$9,2,FALSE)</f>
        <v>Centroamérica</v>
      </c>
      <c r="M15" s="16">
        <f>VLOOKUP(E15,Mercados!$A$4:$D$9,3,FALSE)</f>
        <v>0.03</v>
      </c>
      <c r="N15" s="10" t="str">
        <f>VLOOKUP(E15,Mercados!$A$4:$D$9,4,FALSE)</f>
        <v>Estratégico</v>
      </c>
      <c r="O15" s="29">
        <f t="shared" si="0"/>
        <v>4550</v>
      </c>
      <c r="P15" s="29">
        <f t="shared" si="1"/>
        <v>2869.9999999999995</v>
      </c>
      <c r="Q15" s="29">
        <f t="shared" si="2"/>
        <v>1680.0000000000005</v>
      </c>
      <c r="R15" s="16">
        <f t="shared" si="3"/>
        <v>0.36923076923076931</v>
      </c>
      <c r="S15" s="10" t="str">
        <f t="shared" si="4"/>
        <v>Alta</v>
      </c>
      <c r="T15" s="10" t="str">
        <f t="shared" si="5"/>
        <v>Pequeña</v>
      </c>
      <c r="U15" s="11" t="str">
        <f t="shared" si="6"/>
        <v>Alta</v>
      </c>
    </row>
    <row r="16" spans="1:21">
      <c r="A16" s="9" t="s">
        <v>129</v>
      </c>
      <c r="B16" s="23">
        <v>46139</v>
      </c>
      <c r="C16" s="10" t="s">
        <v>113</v>
      </c>
      <c r="D16" s="10" t="s">
        <v>121</v>
      </c>
      <c r="E16" s="10" t="s">
        <v>79</v>
      </c>
      <c r="F16" s="26">
        <v>450</v>
      </c>
      <c r="G16" s="29">
        <v>12.5</v>
      </c>
      <c r="H16" s="29">
        <v>8.6999999999999993</v>
      </c>
      <c r="I16" s="10" t="s">
        <v>107</v>
      </c>
      <c r="J16" s="10" t="str">
        <f>VLOOKUP(D16,Productos!$A$4:$D$8,2,FALSE)</f>
        <v>Aceite de ajonjolí</v>
      </c>
      <c r="K16" s="10" t="str">
        <f>VLOOKUP(D16,Productos!$A$4:$D$8,3,FALSE)</f>
        <v>Aceites</v>
      </c>
      <c r="L16" s="10" t="str">
        <f>VLOOKUP(E16,Mercados!$A$4:$D$9,2,FALSE)</f>
        <v>Centroamérica</v>
      </c>
      <c r="M16" s="16">
        <f>VLOOKUP(E16,Mercados!$A$4:$D$9,3,FALSE)</f>
        <v>0.02</v>
      </c>
      <c r="N16" s="10" t="str">
        <f>VLOOKUP(E16,Mercados!$A$4:$D$9,4,FALSE)</f>
        <v>Estratégico</v>
      </c>
      <c r="O16" s="29">
        <f t="shared" si="0"/>
        <v>5625</v>
      </c>
      <c r="P16" s="29">
        <f t="shared" si="1"/>
        <v>3914.9999999999995</v>
      </c>
      <c r="Q16" s="29">
        <f t="shared" si="2"/>
        <v>1710.0000000000005</v>
      </c>
      <c r="R16" s="16">
        <f t="shared" si="3"/>
        <v>0.3040000000000001</v>
      </c>
      <c r="S16" s="10" t="str">
        <f t="shared" si="4"/>
        <v>Alta</v>
      </c>
      <c r="T16" s="10" t="str">
        <f t="shared" si="5"/>
        <v>Mediana</v>
      </c>
      <c r="U16" s="11" t="str">
        <f t="shared" si="6"/>
        <v>Alta</v>
      </c>
    </row>
    <row r="17" spans="1:21">
      <c r="A17" s="9" t="s">
        <v>130</v>
      </c>
      <c r="B17" s="23">
        <v>46147</v>
      </c>
      <c r="C17" s="10" t="s">
        <v>116</v>
      </c>
      <c r="D17" s="10" t="s">
        <v>106</v>
      </c>
      <c r="E17" s="10" t="s">
        <v>69</v>
      </c>
      <c r="F17" s="26">
        <v>1000</v>
      </c>
      <c r="G17" s="29">
        <v>4.8</v>
      </c>
      <c r="H17" s="29">
        <v>3.2</v>
      </c>
      <c r="I17" s="10" t="s">
        <v>111</v>
      </c>
      <c r="J17" s="10" t="str">
        <f>VLOOKUP(D17,Productos!$A$4:$D$8,2,FALSE)</f>
        <v>Miel natural</v>
      </c>
      <c r="K17" s="10" t="str">
        <f>VLOOKUP(D17,Productos!$A$4:$D$8,3,FALSE)</f>
        <v>Apícola</v>
      </c>
      <c r="L17" s="10" t="str">
        <f>VLOOKUP(E17,Mercados!$A$4:$D$9,2,FALSE)</f>
        <v>Europa</v>
      </c>
      <c r="M17" s="16">
        <f>VLOOKUP(E17,Mercados!$A$4:$D$9,3,FALSE)</f>
        <v>0.1</v>
      </c>
      <c r="N17" s="10" t="str">
        <f>VLOOKUP(E17,Mercados!$A$4:$D$9,4,FALSE)</f>
        <v>Potencial</v>
      </c>
      <c r="O17" s="29">
        <f t="shared" si="0"/>
        <v>4800</v>
      </c>
      <c r="P17" s="29">
        <f t="shared" si="1"/>
        <v>3200</v>
      </c>
      <c r="Q17" s="29">
        <f t="shared" si="2"/>
        <v>1600</v>
      </c>
      <c r="R17" s="16">
        <f t="shared" si="3"/>
        <v>0.33333333333333331</v>
      </c>
      <c r="S17" s="10" t="str">
        <f t="shared" si="4"/>
        <v>Alta</v>
      </c>
      <c r="T17" s="10" t="str">
        <f t="shared" si="5"/>
        <v>Pequeña</v>
      </c>
      <c r="U17" s="11" t="str">
        <f t="shared" si="6"/>
        <v>Media</v>
      </c>
    </row>
    <row r="18" spans="1:21">
      <c r="A18" s="9" t="s">
        <v>131</v>
      </c>
      <c r="B18" s="23">
        <v>46156</v>
      </c>
      <c r="C18" s="10" t="s">
        <v>120</v>
      </c>
      <c r="D18" s="10" t="s">
        <v>110</v>
      </c>
      <c r="E18" s="10" t="s">
        <v>73</v>
      </c>
      <c r="F18" s="26">
        <v>850</v>
      </c>
      <c r="G18" s="29">
        <v>6.5</v>
      </c>
      <c r="H18" s="29">
        <v>4.0999999999999996</v>
      </c>
      <c r="I18" s="10" t="s">
        <v>107</v>
      </c>
      <c r="J18" s="10" t="str">
        <f>VLOOKUP(D18,Productos!$A$4:$D$8,2,FALSE)</f>
        <v>Café especial</v>
      </c>
      <c r="K18" s="10" t="str">
        <f>VLOOKUP(D18,Productos!$A$4:$D$8,3,FALSE)</f>
        <v>Café</v>
      </c>
      <c r="L18" s="10" t="str">
        <f>VLOOKUP(E18,Mercados!$A$4:$D$9,2,FALSE)</f>
        <v>Norteamérica</v>
      </c>
      <c r="M18" s="16">
        <f>VLOOKUP(E18,Mercados!$A$4:$D$9,3,FALSE)</f>
        <v>0.08</v>
      </c>
      <c r="N18" s="10" t="str">
        <f>VLOOKUP(E18,Mercados!$A$4:$D$9,4,FALSE)</f>
        <v>Potencial</v>
      </c>
      <c r="O18" s="29">
        <f t="shared" si="0"/>
        <v>5525</v>
      </c>
      <c r="P18" s="29">
        <f t="shared" si="1"/>
        <v>3484.9999999999995</v>
      </c>
      <c r="Q18" s="29">
        <f t="shared" si="2"/>
        <v>2040.0000000000005</v>
      </c>
      <c r="R18" s="16">
        <f t="shared" si="3"/>
        <v>0.36923076923076931</v>
      </c>
      <c r="S18" s="10" t="str">
        <f t="shared" si="4"/>
        <v>Alta</v>
      </c>
      <c r="T18" s="10" t="str">
        <f t="shared" si="5"/>
        <v>Mediana</v>
      </c>
      <c r="U18" s="11" t="str">
        <f t="shared" si="6"/>
        <v>Media</v>
      </c>
    </row>
    <row r="19" spans="1:21">
      <c r="A19" s="9" t="s">
        <v>132</v>
      </c>
      <c r="B19" s="23">
        <v>46164</v>
      </c>
      <c r="C19" s="10" t="s">
        <v>109</v>
      </c>
      <c r="D19" s="10" t="s">
        <v>117</v>
      </c>
      <c r="E19" s="10" t="s">
        <v>65</v>
      </c>
      <c r="F19" s="26">
        <v>1250</v>
      </c>
      <c r="G19" s="29">
        <v>7.1</v>
      </c>
      <c r="H19" s="29">
        <v>4.8</v>
      </c>
      <c r="I19" s="10" t="s">
        <v>111</v>
      </c>
      <c r="J19" s="10" t="str">
        <f>VLOOKUP(D19,Productos!$A$4:$D$8,2,FALSE)</f>
        <v>Cacao en grano</v>
      </c>
      <c r="K19" s="10" t="str">
        <f>VLOOKUP(D19,Productos!$A$4:$D$8,3,FALSE)</f>
        <v>Cacao</v>
      </c>
      <c r="L19" s="10" t="str">
        <f>VLOOKUP(E19,Mercados!$A$4:$D$9,2,FALSE)</f>
        <v>Norteamérica</v>
      </c>
      <c r="M19" s="16">
        <f>VLOOKUP(E19,Mercados!$A$4:$D$9,3,FALSE)</f>
        <v>0.05</v>
      </c>
      <c r="N19" s="10" t="str">
        <f>VLOOKUP(E19,Mercados!$A$4:$D$9,4,FALSE)</f>
        <v>Estratégico</v>
      </c>
      <c r="O19" s="29">
        <f t="shared" si="0"/>
        <v>8875</v>
      </c>
      <c r="P19" s="29">
        <f t="shared" si="1"/>
        <v>6000</v>
      </c>
      <c r="Q19" s="29">
        <f t="shared" si="2"/>
        <v>2875</v>
      </c>
      <c r="R19" s="16">
        <f t="shared" si="3"/>
        <v>0.323943661971831</v>
      </c>
      <c r="S19" s="10" t="str">
        <f t="shared" si="4"/>
        <v>Alta</v>
      </c>
      <c r="T19" s="10" t="str">
        <f t="shared" si="5"/>
        <v>Mediana</v>
      </c>
      <c r="U19" s="11" t="str">
        <f t="shared" si="6"/>
        <v>Alta</v>
      </c>
    </row>
    <row r="20" spans="1:21">
      <c r="A20" s="9" t="s">
        <v>133</v>
      </c>
      <c r="B20" s="23">
        <v>46172</v>
      </c>
      <c r="C20" s="10" t="s">
        <v>105</v>
      </c>
      <c r="D20" s="10" t="s">
        <v>121</v>
      </c>
      <c r="E20" s="10" t="s">
        <v>77</v>
      </c>
      <c r="F20" s="26">
        <v>550</v>
      </c>
      <c r="G20" s="29">
        <v>12.5</v>
      </c>
      <c r="H20" s="29">
        <v>8.6999999999999993</v>
      </c>
      <c r="I20" s="10" t="s">
        <v>107</v>
      </c>
      <c r="J20" s="10" t="str">
        <f>VLOOKUP(D20,Productos!$A$4:$D$8,2,FALSE)</f>
        <v>Aceite de ajonjolí</v>
      </c>
      <c r="K20" s="10" t="str">
        <f>VLOOKUP(D20,Productos!$A$4:$D$8,3,FALSE)</f>
        <v>Aceites</v>
      </c>
      <c r="L20" s="10" t="str">
        <f>VLOOKUP(E20,Mercados!$A$4:$D$9,2,FALSE)</f>
        <v>Centroamérica</v>
      </c>
      <c r="M20" s="16">
        <f>VLOOKUP(E20,Mercados!$A$4:$D$9,3,FALSE)</f>
        <v>0.03</v>
      </c>
      <c r="N20" s="10" t="str">
        <f>VLOOKUP(E20,Mercados!$A$4:$D$9,4,FALSE)</f>
        <v>Estratégico</v>
      </c>
      <c r="O20" s="29">
        <f t="shared" si="0"/>
        <v>6875</v>
      </c>
      <c r="P20" s="29">
        <f t="shared" si="1"/>
        <v>4785</v>
      </c>
      <c r="Q20" s="29">
        <f t="shared" si="2"/>
        <v>2090</v>
      </c>
      <c r="R20" s="16">
        <f t="shared" si="3"/>
        <v>0.30399999999999999</v>
      </c>
      <c r="S20" s="10" t="str">
        <f t="shared" si="4"/>
        <v>Alta</v>
      </c>
      <c r="T20" s="10" t="str">
        <f t="shared" si="5"/>
        <v>Mediana</v>
      </c>
      <c r="U20" s="11" t="str">
        <f t="shared" si="6"/>
        <v>Alta</v>
      </c>
    </row>
    <row r="21" spans="1:21">
      <c r="A21" s="9" t="s">
        <v>134</v>
      </c>
      <c r="B21" s="23">
        <v>46180</v>
      </c>
      <c r="C21" s="10" t="s">
        <v>113</v>
      </c>
      <c r="D21" s="10" t="s">
        <v>106</v>
      </c>
      <c r="E21" s="10" t="s">
        <v>79</v>
      </c>
      <c r="F21" s="26">
        <v>800</v>
      </c>
      <c r="G21" s="29">
        <v>4.8</v>
      </c>
      <c r="H21" s="29">
        <v>3.2</v>
      </c>
      <c r="I21" s="10" t="s">
        <v>111</v>
      </c>
      <c r="J21" s="10" t="str">
        <f>VLOOKUP(D21,Productos!$A$4:$D$8,2,FALSE)</f>
        <v>Miel natural</v>
      </c>
      <c r="K21" s="10" t="str">
        <f>VLOOKUP(D21,Productos!$A$4:$D$8,3,FALSE)</f>
        <v>Apícola</v>
      </c>
      <c r="L21" s="10" t="str">
        <f>VLOOKUP(E21,Mercados!$A$4:$D$9,2,FALSE)</f>
        <v>Centroamérica</v>
      </c>
      <c r="M21" s="16">
        <f>VLOOKUP(E21,Mercados!$A$4:$D$9,3,FALSE)</f>
        <v>0.02</v>
      </c>
      <c r="N21" s="10" t="str">
        <f>VLOOKUP(E21,Mercados!$A$4:$D$9,4,FALSE)</f>
        <v>Estratégico</v>
      </c>
      <c r="O21" s="29">
        <f t="shared" si="0"/>
        <v>3840</v>
      </c>
      <c r="P21" s="29">
        <f t="shared" si="1"/>
        <v>2560</v>
      </c>
      <c r="Q21" s="29">
        <f t="shared" si="2"/>
        <v>1280</v>
      </c>
      <c r="R21" s="16">
        <f t="shared" si="3"/>
        <v>0.33333333333333331</v>
      </c>
      <c r="S21" s="10" t="str">
        <f t="shared" si="4"/>
        <v>Alta</v>
      </c>
      <c r="T21" s="10" t="str">
        <f t="shared" si="5"/>
        <v>Pequeña</v>
      </c>
      <c r="U21" s="11" t="str">
        <f t="shared" si="6"/>
        <v>Alta</v>
      </c>
    </row>
    <row r="22" spans="1:21">
      <c r="A22" s="9" t="s">
        <v>135</v>
      </c>
      <c r="B22" s="23">
        <v>46189</v>
      </c>
      <c r="C22" s="10" t="s">
        <v>116</v>
      </c>
      <c r="D22" s="10" t="s">
        <v>114</v>
      </c>
      <c r="E22" s="10" t="s">
        <v>69</v>
      </c>
      <c r="F22" s="26">
        <v>900</v>
      </c>
      <c r="G22" s="29">
        <v>8.1999999999999993</v>
      </c>
      <c r="H22" s="29">
        <v>5.9</v>
      </c>
      <c r="I22" s="10" t="s">
        <v>118</v>
      </c>
      <c r="J22" s="10" t="str">
        <f>VLOOKUP(D22,Productos!$A$4:$D$8,2,FALSE)</f>
        <v>Maní procesado</v>
      </c>
      <c r="K22" s="10" t="str">
        <f>VLOOKUP(D22,Productos!$A$4:$D$8,3,FALSE)</f>
        <v>Semillas</v>
      </c>
      <c r="L22" s="10" t="str">
        <f>VLOOKUP(E22,Mercados!$A$4:$D$9,2,FALSE)</f>
        <v>Europa</v>
      </c>
      <c r="M22" s="16">
        <f>VLOOKUP(E22,Mercados!$A$4:$D$9,3,FALSE)</f>
        <v>0.1</v>
      </c>
      <c r="N22" s="10" t="str">
        <f>VLOOKUP(E22,Mercados!$A$4:$D$9,4,FALSE)</f>
        <v>Potencial</v>
      </c>
      <c r="O22" s="29">
        <f t="shared" si="0"/>
        <v>7379.9999999999991</v>
      </c>
      <c r="P22" s="29">
        <f t="shared" si="1"/>
        <v>5310</v>
      </c>
      <c r="Q22" s="29">
        <f t="shared" si="2"/>
        <v>2069.9999999999991</v>
      </c>
      <c r="R22" s="16">
        <f t="shared" si="3"/>
        <v>0.2804878048780487</v>
      </c>
      <c r="S22" s="10" t="str">
        <f t="shared" si="4"/>
        <v>Media</v>
      </c>
      <c r="T22" s="10" t="str">
        <f t="shared" si="5"/>
        <v>Mediana</v>
      </c>
      <c r="U22" s="11" t="str">
        <f t="shared" si="6"/>
        <v>Baja</v>
      </c>
    </row>
    <row r="23" spans="1:21">
      <c r="A23" s="9" t="s">
        <v>136</v>
      </c>
      <c r="B23" s="23">
        <v>46198</v>
      </c>
      <c r="C23" s="10" t="s">
        <v>120</v>
      </c>
      <c r="D23" s="10" t="s">
        <v>121</v>
      </c>
      <c r="E23" s="10" t="s">
        <v>73</v>
      </c>
      <c r="F23" s="26">
        <v>650</v>
      </c>
      <c r="G23" s="29">
        <v>12.5</v>
      </c>
      <c r="H23" s="29">
        <v>8.6999999999999993</v>
      </c>
      <c r="I23" s="10" t="s">
        <v>111</v>
      </c>
      <c r="J23" s="10" t="str">
        <f>VLOOKUP(D23,Productos!$A$4:$D$8,2,FALSE)</f>
        <v>Aceite de ajonjolí</v>
      </c>
      <c r="K23" s="10" t="str">
        <f>VLOOKUP(D23,Productos!$A$4:$D$8,3,FALSE)</f>
        <v>Aceites</v>
      </c>
      <c r="L23" s="10" t="str">
        <f>VLOOKUP(E23,Mercados!$A$4:$D$9,2,FALSE)</f>
        <v>Norteamérica</v>
      </c>
      <c r="M23" s="16">
        <f>VLOOKUP(E23,Mercados!$A$4:$D$9,3,FALSE)</f>
        <v>0.08</v>
      </c>
      <c r="N23" s="10" t="str">
        <f>VLOOKUP(E23,Mercados!$A$4:$D$9,4,FALSE)</f>
        <v>Potencial</v>
      </c>
      <c r="O23" s="29">
        <f t="shared" si="0"/>
        <v>8125</v>
      </c>
      <c r="P23" s="29">
        <f t="shared" si="1"/>
        <v>5654.9999999999991</v>
      </c>
      <c r="Q23" s="29">
        <f t="shared" si="2"/>
        <v>2470.0000000000009</v>
      </c>
      <c r="R23" s="16">
        <f t="shared" si="3"/>
        <v>0.3040000000000001</v>
      </c>
      <c r="S23" s="10" t="str">
        <f t="shared" si="4"/>
        <v>Alta</v>
      </c>
      <c r="T23" s="10" t="str">
        <f t="shared" si="5"/>
        <v>Mediana</v>
      </c>
      <c r="U23" s="11" t="str">
        <f t="shared" si="6"/>
        <v>Media</v>
      </c>
    </row>
    <row r="24" spans="1:21">
      <c r="A24" s="9" t="s">
        <v>137</v>
      </c>
      <c r="B24" s="23">
        <v>46206</v>
      </c>
      <c r="C24" s="10" t="s">
        <v>109</v>
      </c>
      <c r="D24" s="10" t="s">
        <v>110</v>
      </c>
      <c r="E24" s="10" t="s">
        <v>65</v>
      </c>
      <c r="F24" s="26">
        <v>1500</v>
      </c>
      <c r="G24" s="29">
        <v>6.5</v>
      </c>
      <c r="H24" s="29">
        <v>4.0999999999999996</v>
      </c>
      <c r="I24" s="10" t="s">
        <v>107</v>
      </c>
      <c r="J24" s="10" t="str">
        <f>VLOOKUP(D24,Productos!$A$4:$D$8,2,FALSE)</f>
        <v>Café especial</v>
      </c>
      <c r="K24" s="10" t="str">
        <f>VLOOKUP(D24,Productos!$A$4:$D$8,3,FALSE)</f>
        <v>Café</v>
      </c>
      <c r="L24" s="10" t="str">
        <f>VLOOKUP(E24,Mercados!$A$4:$D$9,2,FALSE)</f>
        <v>Norteamérica</v>
      </c>
      <c r="M24" s="16">
        <f>VLOOKUP(E24,Mercados!$A$4:$D$9,3,FALSE)</f>
        <v>0.05</v>
      </c>
      <c r="N24" s="10" t="str">
        <f>VLOOKUP(E24,Mercados!$A$4:$D$9,4,FALSE)</f>
        <v>Estratégico</v>
      </c>
      <c r="O24" s="29">
        <f t="shared" si="0"/>
        <v>9750</v>
      </c>
      <c r="P24" s="29">
        <f t="shared" si="1"/>
        <v>6149.9999999999991</v>
      </c>
      <c r="Q24" s="29">
        <f t="shared" si="2"/>
        <v>3600.0000000000009</v>
      </c>
      <c r="R24" s="16">
        <f t="shared" si="3"/>
        <v>0.36923076923076931</v>
      </c>
      <c r="S24" s="10" t="str">
        <f t="shared" si="4"/>
        <v>Alta</v>
      </c>
      <c r="T24" s="10" t="str">
        <f t="shared" si="5"/>
        <v>Mediana</v>
      </c>
      <c r="U24" s="11" t="str">
        <f t="shared" si="6"/>
        <v>Alta</v>
      </c>
    </row>
    <row r="25" spans="1:21">
      <c r="A25" s="9" t="s">
        <v>138</v>
      </c>
      <c r="B25" s="23">
        <v>46214</v>
      </c>
      <c r="C25" s="10" t="s">
        <v>105</v>
      </c>
      <c r="D25" s="10" t="s">
        <v>117</v>
      </c>
      <c r="E25" s="10" t="s">
        <v>77</v>
      </c>
      <c r="F25" s="26">
        <v>1000</v>
      </c>
      <c r="G25" s="29">
        <v>7.1</v>
      </c>
      <c r="H25" s="29">
        <v>4.8</v>
      </c>
      <c r="I25" s="10" t="s">
        <v>111</v>
      </c>
      <c r="J25" s="10" t="str">
        <f>VLOOKUP(D25,Productos!$A$4:$D$8,2,FALSE)</f>
        <v>Cacao en grano</v>
      </c>
      <c r="K25" s="10" t="str">
        <f>VLOOKUP(D25,Productos!$A$4:$D$8,3,FALSE)</f>
        <v>Cacao</v>
      </c>
      <c r="L25" s="10" t="str">
        <f>VLOOKUP(E25,Mercados!$A$4:$D$9,2,FALSE)</f>
        <v>Centroamérica</v>
      </c>
      <c r="M25" s="16">
        <f>VLOOKUP(E25,Mercados!$A$4:$D$9,3,FALSE)</f>
        <v>0.03</v>
      </c>
      <c r="N25" s="10" t="str">
        <f>VLOOKUP(E25,Mercados!$A$4:$D$9,4,FALSE)</f>
        <v>Estratégico</v>
      </c>
      <c r="O25" s="29">
        <f t="shared" si="0"/>
        <v>7100</v>
      </c>
      <c r="P25" s="29">
        <f t="shared" si="1"/>
        <v>4800</v>
      </c>
      <c r="Q25" s="29">
        <f t="shared" si="2"/>
        <v>2300</v>
      </c>
      <c r="R25" s="16">
        <f t="shared" si="3"/>
        <v>0.323943661971831</v>
      </c>
      <c r="S25" s="10" t="str">
        <f t="shared" si="4"/>
        <v>Alta</v>
      </c>
      <c r="T25" s="10" t="str">
        <f t="shared" si="5"/>
        <v>Mediana</v>
      </c>
      <c r="U25" s="11" t="str">
        <f t="shared" si="6"/>
        <v>Alta</v>
      </c>
    </row>
    <row r="26" spans="1:21">
      <c r="A26" s="9" t="s">
        <v>139</v>
      </c>
      <c r="B26" s="23">
        <v>46222</v>
      </c>
      <c r="C26" s="10" t="s">
        <v>113</v>
      </c>
      <c r="D26" s="10" t="s">
        <v>114</v>
      </c>
      <c r="E26" s="10" t="s">
        <v>79</v>
      </c>
      <c r="F26" s="26">
        <v>720</v>
      </c>
      <c r="G26" s="29">
        <v>8.1999999999999993</v>
      </c>
      <c r="H26" s="29">
        <v>5.9</v>
      </c>
      <c r="I26" s="10" t="s">
        <v>107</v>
      </c>
      <c r="J26" s="10" t="str">
        <f>VLOOKUP(D26,Productos!$A$4:$D$8,2,FALSE)</f>
        <v>Maní procesado</v>
      </c>
      <c r="K26" s="10" t="str">
        <f>VLOOKUP(D26,Productos!$A$4:$D$8,3,FALSE)</f>
        <v>Semillas</v>
      </c>
      <c r="L26" s="10" t="str">
        <f>VLOOKUP(E26,Mercados!$A$4:$D$9,2,FALSE)</f>
        <v>Centroamérica</v>
      </c>
      <c r="M26" s="16">
        <f>VLOOKUP(E26,Mercados!$A$4:$D$9,3,FALSE)</f>
        <v>0.02</v>
      </c>
      <c r="N26" s="10" t="str">
        <f>VLOOKUP(E26,Mercados!$A$4:$D$9,4,FALSE)</f>
        <v>Estratégico</v>
      </c>
      <c r="O26" s="29">
        <f t="shared" si="0"/>
        <v>5903.9999999999991</v>
      </c>
      <c r="P26" s="29">
        <f t="shared" si="1"/>
        <v>4248</v>
      </c>
      <c r="Q26" s="29">
        <f t="shared" si="2"/>
        <v>1655.9999999999991</v>
      </c>
      <c r="R26" s="16">
        <f t="shared" si="3"/>
        <v>0.2804878048780487</v>
      </c>
      <c r="S26" s="10" t="str">
        <f t="shared" si="4"/>
        <v>Media</v>
      </c>
      <c r="T26" s="10" t="str">
        <f t="shared" si="5"/>
        <v>Mediana</v>
      </c>
      <c r="U26" s="11" t="str">
        <f t="shared" si="6"/>
        <v>Media</v>
      </c>
    </row>
    <row r="27" spans="1:21">
      <c r="A27" s="9" t="s">
        <v>140</v>
      </c>
      <c r="B27" s="23">
        <v>46231</v>
      </c>
      <c r="C27" s="10" t="s">
        <v>116</v>
      </c>
      <c r="D27" s="10" t="s">
        <v>106</v>
      </c>
      <c r="E27" s="10" t="s">
        <v>69</v>
      </c>
      <c r="F27" s="26">
        <v>1150</v>
      </c>
      <c r="G27" s="29">
        <v>4.8</v>
      </c>
      <c r="H27" s="29">
        <v>3.2</v>
      </c>
      <c r="I27" s="10" t="s">
        <v>111</v>
      </c>
      <c r="J27" s="10" t="str">
        <f>VLOOKUP(D27,Productos!$A$4:$D$8,2,FALSE)</f>
        <v>Miel natural</v>
      </c>
      <c r="K27" s="10" t="str">
        <f>VLOOKUP(D27,Productos!$A$4:$D$8,3,FALSE)</f>
        <v>Apícola</v>
      </c>
      <c r="L27" s="10" t="str">
        <f>VLOOKUP(E27,Mercados!$A$4:$D$9,2,FALSE)</f>
        <v>Europa</v>
      </c>
      <c r="M27" s="16">
        <f>VLOOKUP(E27,Mercados!$A$4:$D$9,3,FALSE)</f>
        <v>0.1</v>
      </c>
      <c r="N27" s="10" t="str">
        <f>VLOOKUP(E27,Mercados!$A$4:$D$9,4,FALSE)</f>
        <v>Potencial</v>
      </c>
      <c r="O27" s="29">
        <f t="shared" si="0"/>
        <v>5520</v>
      </c>
      <c r="P27" s="29">
        <f t="shared" si="1"/>
        <v>3680</v>
      </c>
      <c r="Q27" s="29">
        <f t="shared" si="2"/>
        <v>1840</v>
      </c>
      <c r="R27" s="16">
        <f t="shared" si="3"/>
        <v>0.33333333333333331</v>
      </c>
      <c r="S27" s="10" t="str">
        <f t="shared" si="4"/>
        <v>Alta</v>
      </c>
      <c r="T27" s="10" t="str">
        <f t="shared" si="5"/>
        <v>Mediana</v>
      </c>
      <c r="U27" s="11" t="str">
        <f t="shared" si="6"/>
        <v>Media</v>
      </c>
    </row>
    <row r="28" spans="1:21">
      <c r="A28" s="9" t="s">
        <v>141</v>
      </c>
      <c r="B28" s="23">
        <v>46239</v>
      </c>
      <c r="C28" s="10" t="s">
        <v>120</v>
      </c>
      <c r="D28" s="10" t="s">
        <v>110</v>
      </c>
      <c r="E28" s="10" t="s">
        <v>73</v>
      </c>
      <c r="F28" s="26">
        <v>950</v>
      </c>
      <c r="G28" s="29">
        <v>6.5</v>
      </c>
      <c r="H28" s="29">
        <v>4.0999999999999996</v>
      </c>
      <c r="I28" s="10" t="s">
        <v>118</v>
      </c>
      <c r="J28" s="10" t="str">
        <f>VLOOKUP(D28,Productos!$A$4:$D$8,2,FALSE)</f>
        <v>Café especial</v>
      </c>
      <c r="K28" s="10" t="str">
        <f>VLOOKUP(D28,Productos!$A$4:$D$8,3,FALSE)</f>
        <v>Café</v>
      </c>
      <c r="L28" s="10" t="str">
        <f>VLOOKUP(E28,Mercados!$A$4:$D$9,2,FALSE)</f>
        <v>Norteamérica</v>
      </c>
      <c r="M28" s="16">
        <f>VLOOKUP(E28,Mercados!$A$4:$D$9,3,FALSE)</f>
        <v>0.08</v>
      </c>
      <c r="N28" s="10" t="str">
        <f>VLOOKUP(E28,Mercados!$A$4:$D$9,4,FALSE)</f>
        <v>Potencial</v>
      </c>
      <c r="O28" s="29">
        <f t="shared" si="0"/>
        <v>6175</v>
      </c>
      <c r="P28" s="29">
        <f t="shared" si="1"/>
        <v>3894.9999999999995</v>
      </c>
      <c r="Q28" s="29">
        <f t="shared" si="2"/>
        <v>2280.0000000000005</v>
      </c>
      <c r="R28" s="16">
        <f t="shared" si="3"/>
        <v>0.36923076923076931</v>
      </c>
      <c r="S28" s="10" t="str">
        <f t="shared" si="4"/>
        <v>Alta</v>
      </c>
      <c r="T28" s="10" t="str">
        <f t="shared" si="5"/>
        <v>Mediana</v>
      </c>
      <c r="U28" s="11" t="str">
        <f t="shared" si="6"/>
        <v>Media</v>
      </c>
    </row>
    <row r="29" spans="1:21">
      <c r="A29" s="9" t="s">
        <v>142</v>
      </c>
      <c r="B29" s="23">
        <v>46247</v>
      </c>
      <c r="C29" s="10" t="s">
        <v>109</v>
      </c>
      <c r="D29" s="10" t="s">
        <v>121</v>
      </c>
      <c r="E29" s="10" t="s">
        <v>65</v>
      </c>
      <c r="F29" s="26">
        <v>700</v>
      </c>
      <c r="G29" s="29">
        <v>12.5</v>
      </c>
      <c r="H29" s="29">
        <v>8.6999999999999993</v>
      </c>
      <c r="I29" s="10" t="s">
        <v>111</v>
      </c>
      <c r="J29" s="10" t="str">
        <f>VLOOKUP(D29,Productos!$A$4:$D$8,2,FALSE)</f>
        <v>Aceite de ajonjolí</v>
      </c>
      <c r="K29" s="10" t="str">
        <f>VLOOKUP(D29,Productos!$A$4:$D$8,3,FALSE)</f>
        <v>Aceites</v>
      </c>
      <c r="L29" s="10" t="str">
        <f>VLOOKUP(E29,Mercados!$A$4:$D$9,2,FALSE)</f>
        <v>Norteamérica</v>
      </c>
      <c r="M29" s="16">
        <f>VLOOKUP(E29,Mercados!$A$4:$D$9,3,FALSE)</f>
        <v>0.05</v>
      </c>
      <c r="N29" s="10" t="str">
        <f>VLOOKUP(E29,Mercados!$A$4:$D$9,4,FALSE)</f>
        <v>Estratégico</v>
      </c>
      <c r="O29" s="29">
        <f t="shared" si="0"/>
        <v>8750</v>
      </c>
      <c r="P29" s="29">
        <f t="shared" si="1"/>
        <v>6089.9999999999991</v>
      </c>
      <c r="Q29" s="29">
        <f t="shared" si="2"/>
        <v>2660.0000000000009</v>
      </c>
      <c r="R29" s="16">
        <f t="shared" si="3"/>
        <v>0.3040000000000001</v>
      </c>
      <c r="S29" s="10" t="str">
        <f t="shared" si="4"/>
        <v>Alta</v>
      </c>
      <c r="T29" s="10" t="str">
        <f t="shared" si="5"/>
        <v>Mediana</v>
      </c>
      <c r="U29" s="11" t="str">
        <f t="shared" si="6"/>
        <v>Alta</v>
      </c>
    </row>
    <row r="30" spans="1:21">
      <c r="A30" s="9" t="s">
        <v>143</v>
      </c>
      <c r="B30" s="23">
        <v>46255</v>
      </c>
      <c r="C30" s="10" t="s">
        <v>105</v>
      </c>
      <c r="D30" s="10" t="s">
        <v>106</v>
      </c>
      <c r="E30" s="10" t="s">
        <v>77</v>
      </c>
      <c r="F30" s="26">
        <v>1050</v>
      </c>
      <c r="G30" s="29">
        <v>4.8</v>
      </c>
      <c r="H30" s="29">
        <v>3.2</v>
      </c>
      <c r="I30" s="10" t="s">
        <v>107</v>
      </c>
      <c r="J30" s="10" t="str">
        <f>VLOOKUP(D30,Productos!$A$4:$D$8,2,FALSE)</f>
        <v>Miel natural</v>
      </c>
      <c r="K30" s="10" t="str">
        <f>VLOOKUP(D30,Productos!$A$4:$D$8,3,FALSE)</f>
        <v>Apícola</v>
      </c>
      <c r="L30" s="10" t="str">
        <f>VLOOKUP(E30,Mercados!$A$4:$D$9,2,FALSE)</f>
        <v>Centroamérica</v>
      </c>
      <c r="M30" s="16">
        <f>VLOOKUP(E30,Mercados!$A$4:$D$9,3,FALSE)</f>
        <v>0.03</v>
      </c>
      <c r="N30" s="10" t="str">
        <f>VLOOKUP(E30,Mercados!$A$4:$D$9,4,FALSE)</f>
        <v>Estratégico</v>
      </c>
      <c r="O30" s="29">
        <f t="shared" si="0"/>
        <v>5040</v>
      </c>
      <c r="P30" s="29">
        <f t="shared" si="1"/>
        <v>3360</v>
      </c>
      <c r="Q30" s="29">
        <f t="shared" si="2"/>
        <v>1680</v>
      </c>
      <c r="R30" s="16">
        <f t="shared" si="3"/>
        <v>0.33333333333333331</v>
      </c>
      <c r="S30" s="10" t="str">
        <f t="shared" si="4"/>
        <v>Alta</v>
      </c>
      <c r="T30" s="10" t="str">
        <f t="shared" si="5"/>
        <v>Mediana</v>
      </c>
      <c r="U30" s="11" t="str">
        <f t="shared" si="6"/>
        <v>Alta</v>
      </c>
    </row>
    <row r="31" spans="1:21">
      <c r="A31" s="9" t="s">
        <v>144</v>
      </c>
      <c r="B31" s="23">
        <v>46263</v>
      </c>
      <c r="C31" s="10" t="s">
        <v>113</v>
      </c>
      <c r="D31" s="10" t="s">
        <v>117</v>
      </c>
      <c r="E31" s="10" t="s">
        <v>79</v>
      </c>
      <c r="F31" s="26">
        <v>850</v>
      </c>
      <c r="G31" s="29">
        <v>7.1</v>
      </c>
      <c r="H31" s="29">
        <v>4.8</v>
      </c>
      <c r="I31" s="10" t="s">
        <v>111</v>
      </c>
      <c r="J31" s="10" t="str">
        <f>VLOOKUP(D31,Productos!$A$4:$D$8,2,FALSE)</f>
        <v>Cacao en grano</v>
      </c>
      <c r="K31" s="10" t="str">
        <f>VLOOKUP(D31,Productos!$A$4:$D$8,3,FALSE)</f>
        <v>Cacao</v>
      </c>
      <c r="L31" s="10" t="str">
        <f>VLOOKUP(E31,Mercados!$A$4:$D$9,2,FALSE)</f>
        <v>Centroamérica</v>
      </c>
      <c r="M31" s="16">
        <f>VLOOKUP(E31,Mercados!$A$4:$D$9,3,FALSE)</f>
        <v>0.02</v>
      </c>
      <c r="N31" s="10" t="str">
        <f>VLOOKUP(E31,Mercados!$A$4:$D$9,4,FALSE)</f>
        <v>Estratégico</v>
      </c>
      <c r="O31" s="29">
        <f t="shared" si="0"/>
        <v>6035</v>
      </c>
      <c r="P31" s="29">
        <f t="shared" si="1"/>
        <v>4080</v>
      </c>
      <c r="Q31" s="29">
        <f t="shared" si="2"/>
        <v>1955</v>
      </c>
      <c r="R31" s="16">
        <f t="shared" si="3"/>
        <v>0.323943661971831</v>
      </c>
      <c r="S31" s="10" t="str">
        <f t="shared" si="4"/>
        <v>Alta</v>
      </c>
      <c r="T31" s="10" t="str">
        <f t="shared" si="5"/>
        <v>Mediana</v>
      </c>
      <c r="U31" s="11" t="str">
        <f t="shared" si="6"/>
        <v>Alta</v>
      </c>
    </row>
    <row r="32" spans="1:21">
      <c r="A32" s="9" t="s">
        <v>145</v>
      </c>
      <c r="B32" s="23">
        <v>46269</v>
      </c>
      <c r="C32" s="10" t="s">
        <v>116</v>
      </c>
      <c r="D32" s="10" t="s">
        <v>110</v>
      </c>
      <c r="E32" s="10" t="s">
        <v>69</v>
      </c>
      <c r="F32" s="26">
        <v>1200</v>
      </c>
      <c r="G32" s="29">
        <v>6.5</v>
      </c>
      <c r="H32" s="29">
        <v>4.0999999999999996</v>
      </c>
      <c r="I32" s="10" t="s">
        <v>107</v>
      </c>
      <c r="J32" s="10" t="str">
        <f>VLOOKUP(D32,Productos!$A$4:$D$8,2,FALSE)</f>
        <v>Café especial</v>
      </c>
      <c r="K32" s="10" t="str">
        <f>VLOOKUP(D32,Productos!$A$4:$D$8,3,FALSE)</f>
        <v>Café</v>
      </c>
      <c r="L32" s="10" t="str">
        <f>VLOOKUP(E32,Mercados!$A$4:$D$9,2,FALSE)</f>
        <v>Europa</v>
      </c>
      <c r="M32" s="16">
        <f>VLOOKUP(E32,Mercados!$A$4:$D$9,3,FALSE)</f>
        <v>0.1</v>
      </c>
      <c r="N32" s="10" t="str">
        <f>VLOOKUP(E32,Mercados!$A$4:$D$9,4,FALSE)</f>
        <v>Potencial</v>
      </c>
      <c r="O32" s="29">
        <f t="shared" si="0"/>
        <v>7800</v>
      </c>
      <c r="P32" s="29">
        <f t="shared" si="1"/>
        <v>4920</v>
      </c>
      <c r="Q32" s="29">
        <f t="shared" si="2"/>
        <v>2880</v>
      </c>
      <c r="R32" s="16">
        <f t="shared" si="3"/>
        <v>0.36923076923076925</v>
      </c>
      <c r="S32" s="10" t="str">
        <f t="shared" si="4"/>
        <v>Alta</v>
      </c>
      <c r="T32" s="10" t="str">
        <f t="shared" si="5"/>
        <v>Mediana</v>
      </c>
      <c r="U32" s="11" t="str">
        <f t="shared" si="6"/>
        <v>Media</v>
      </c>
    </row>
    <row r="33" spans="1:21">
      <c r="A33" s="9" t="s">
        <v>146</v>
      </c>
      <c r="B33" s="23">
        <v>46277</v>
      </c>
      <c r="C33" s="10" t="s">
        <v>120</v>
      </c>
      <c r="D33" s="10" t="s">
        <v>114</v>
      </c>
      <c r="E33" s="10" t="s">
        <v>73</v>
      </c>
      <c r="F33" s="26">
        <v>600</v>
      </c>
      <c r="G33" s="29">
        <v>8.1999999999999993</v>
      </c>
      <c r="H33" s="29">
        <v>5.9</v>
      </c>
      <c r="I33" s="10" t="s">
        <v>111</v>
      </c>
      <c r="J33" s="10" t="str">
        <f>VLOOKUP(D33,Productos!$A$4:$D$8,2,FALSE)</f>
        <v>Maní procesado</v>
      </c>
      <c r="K33" s="10" t="str">
        <f>VLOOKUP(D33,Productos!$A$4:$D$8,3,FALSE)</f>
        <v>Semillas</v>
      </c>
      <c r="L33" s="10" t="str">
        <f>VLOOKUP(E33,Mercados!$A$4:$D$9,2,FALSE)</f>
        <v>Norteamérica</v>
      </c>
      <c r="M33" s="16">
        <f>VLOOKUP(E33,Mercados!$A$4:$D$9,3,FALSE)</f>
        <v>0.08</v>
      </c>
      <c r="N33" s="10" t="str">
        <f>VLOOKUP(E33,Mercados!$A$4:$D$9,4,FALSE)</f>
        <v>Potencial</v>
      </c>
      <c r="O33" s="29">
        <f t="shared" si="0"/>
        <v>4920</v>
      </c>
      <c r="P33" s="29">
        <f t="shared" si="1"/>
        <v>3540</v>
      </c>
      <c r="Q33" s="29">
        <f t="shared" si="2"/>
        <v>1380</v>
      </c>
      <c r="R33" s="16">
        <f t="shared" si="3"/>
        <v>0.28048780487804881</v>
      </c>
      <c r="S33" s="10" t="str">
        <f t="shared" si="4"/>
        <v>Media</v>
      </c>
      <c r="T33" s="10" t="str">
        <f t="shared" si="5"/>
        <v>Pequeña</v>
      </c>
      <c r="U33" s="11" t="str">
        <f t="shared" si="6"/>
        <v>Baja</v>
      </c>
    </row>
    <row r="34" spans="1:21">
      <c r="A34" s="9" t="s">
        <v>147</v>
      </c>
      <c r="B34" s="23">
        <v>46285</v>
      </c>
      <c r="C34" s="10" t="s">
        <v>109</v>
      </c>
      <c r="D34" s="10" t="s">
        <v>106</v>
      </c>
      <c r="E34" s="10" t="s">
        <v>65</v>
      </c>
      <c r="F34" s="26">
        <v>1350</v>
      </c>
      <c r="G34" s="29">
        <v>4.8</v>
      </c>
      <c r="H34" s="29">
        <v>3.2</v>
      </c>
      <c r="I34" s="10" t="s">
        <v>111</v>
      </c>
      <c r="J34" s="10" t="str">
        <f>VLOOKUP(D34,Productos!$A$4:$D$8,2,FALSE)</f>
        <v>Miel natural</v>
      </c>
      <c r="K34" s="10" t="str">
        <f>VLOOKUP(D34,Productos!$A$4:$D$8,3,FALSE)</f>
        <v>Apícola</v>
      </c>
      <c r="L34" s="10" t="str">
        <f>VLOOKUP(E34,Mercados!$A$4:$D$9,2,FALSE)</f>
        <v>Norteamérica</v>
      </c>
      <c r="M34" s="16">
        <f>VLOOKUP(E34,Mercados!$A$4:$D$9,3,FALSE)</f>
        <v>0.05</v>
      </c>
      <c r="N34" s="10" t="str">
        <f>VLOOKUP(E34,Mercados!$A$4:$D$9,4,FALSE)</f>
        <v>Estratégico</v>
      </c>
      <c r="O34" s="29">
        <f t="shared" si="0"/>
        <v>6480</v>
      </c>
      <c r="P34" s="29">
        <f t="shared" si="1"/>
        <v>4320</v>
      </c>
      <c r="Q34" s="29">
        <f t="shared" si="2"/>
        <v>2160</v>
      </c>
      <c r="R34" s="16">
        <f t="shared" si="3"/>
        <v>0.33333333333333331</v>
      </c>
      <c r="S34" s="10" t="str">
        <f t="shared" si="4"/>
        <v>Alta</v>
      </c>
      <c r="T34" s="10" t="str">
        <f t="shared" si="5"/>
        <v>Mediana</v>
      </c>
      <c r="U34" s="11" t="str">
        <f t="shared" si="6"/>
        <v>Alta</v>
      </c>
    </row>
    <row r="35" spans="1:21">
      <c r="A35" s="9" t="s">
        <v>148</v>
      </c>
      <c r="B35" s="23">
        <v>46293</v>
      </c>
      <c r="C35" s="10" t="s">
        <v>105</v>
      </c>
      <c r="D35" s="10" t="s">
        <v>121</v>
      </c>
      <c r="E35" s="10" t="s">
        <v>77</v>
      </c>
      <c r="F35" s="26">
        <v>500</v>
      </c>
      <c r="G35" s="29">
        <v>12.5</v>
      </c>
      <c r="H35" s="29">
        <v>8.6999999999999993</v>
      </c>
      <c r="I35" s="10" t="s">
        <v>118</v>
      </c>
      <c r="J35" s="10" t="str">
        <f>VLOOKUP(D35,Productos!$A$4:$D$8,2,FALSE)</f>
        <v>Aceite de ajonjolí</v>
      </c>
      <c r="K35" s="10" t="str">
        <f>VLOOKUP(D35,Productos!$A$4:$D$8,3,FALSE)</f>
        <v>Aceites</v>
      </c>
      <c r="L35" s="10" t="str">
        <f>VLOOKUP(E35,Mercados!$A$4:$D$9,2,FALSE)</f>
        <v>Centroamérica</v>
      </c>
      <c r="M35" s="16">
        <f>VLOOKUP(E35,Mercados!$A$4:$D$9,3,FALSE)</f>
        <v>0.03</v>
      </c>
      <c r="N35" s="10" t="str">
        <f>VLOOKUP(E35,Mercados!$A$4:$D$9,4,FALSE)</f>
        <v>Estratégico</v>
      </c>
      <c r="O35" s="29">
        <f t="shared" si="0"/>
        <v>6250</v>
      </c>
      <c r="P35" s="29">
        <f t="shared" si="1"/>
        <v>4350</v>
      </c>
      <c r="Q35" s="29">
        <f t="shared" si="2"/>
        <v>1900</v>
      </c>
      <c r="R35" s="16">
        <f t="shared" si="3"/>
        <v>0.30399999999999999</v>
      </c>
      <c r="S35" s="10" t="str">
        <f t="shared" si="4"/>
        <v>Alta</v>
      </c>
      <c r="T35" s="10" t="str">
        <f t="shared" si="5"/>
        <v>Mediana</v>
      </c>
      <c r="U35" s="11" t="str">
        <f t="shared" si="6"/>
        <v>Alta</v>
      </c>
    </row>
    <row r="36" spans="1:21">
      <c r="A36" s="9" t="s">
        <v>149</v>
      </c>
      <c r="B36" s="23">
        <v>46301</v>
      </c>
      <c r="C36" s="10" t="s">
        <v>113</v>
      </c>
      <c r="D36" s="10" t="s">
        <v>110</v>
      </c>
      <c r="E36" s="10" t="s">
        <v>79</v>
      </c>
      <c r="F36" s="26">
        <v>950</v>
      </c>
      <c r="G36" s="29">
        <v>6.5</v>
      </c>
      <c r="H36" s="29">
        <v>4.0999999999999996</v>
      </c>
      <c r="I36" s="10" t="s">
        <v>107</v>
      </c>
      <c r="J36" s="10" t="str">
        <f>VLOOKUP(D36,Productos!$A$4:$D$8,2,FALSE)</f>
        <v>Café especial</v>
      </c>
      <c r="K36" s="10" t="str">
        <f>VLOOKUP(D36,Productos!$A$4:$D$8,3,FALSE)</f>
        <v>Café</v>
      </c>
      <c r="L36" s="10" t="str">
        <f>VLOOKUP(E36,Mercados!$A$4:$D$9,2,FALSE)</f>
        <v>Centroamérica</v>
      </c>
      <c r="M36" s="16">
        <f>VLOOKUP(E36,Mercados!$A$4:$D$9,3,FALSE)</f>
        <v>0.02</v>
      </c>
      <c r="N36" s="10" t="str">
        <f>VLOOKUP(E36,Mercados!$A$4:$D$9,4,FALSE)</f>
        <v>Estratégico</v>
      </c>
      <c r="O36" s="29">
        <f t="shared" ref="O36:O67" si="7">F36*G36</f>
        <v>6175</v>
      </c>
      <c r="P36" s="29">
        <f t="shared" ref="P36:P67" si="8">F36*H36</f>
        <v>3894.9999999999995</v>
      </c>
      <c r="Q36" s="29">
        <f t="shared" ref="Q36:Q67" si="9">O36-P36</f>
        <v>2280.0000000000005</v>
      </c>
      <c r="R36" s="16">
        <f t="shared" ref="R36:R67" si="10">Q36/O36</f>
        <v>0.36923076923076931</v>
      </c>
      <c r="S36" s="10" t="str">
        <f t="shared" ref="S36:S67" si="11">IF(R36&gt;=30%,"Alta",IF(R36&gt;=15%,"Media","Baja"))</f>
        <v>Alta</v>
      </c>
      <c r="T36" s="10" t="str">
        <f t="shared" ref="T36:T67" si="12">IF(O36&gt;=10000,"Grande",IF(O36&gt;=5000,"Mediana","Pequeña"))</f>
        <v>Mediana</v>
      </c>
      <c r="U36" s="11" t="str">
        <f t="shared" ref="U36:U67" si="13">IF(AND(N36="Estratégico",R36&gt;=30%),"Alta",IF(AND(N36="Estratégico",R36&lt;30%),"Media",IF(AND(N36="Potencial",R36&gt;=30%),"Media","Baja")))</f>
        <v>Alta</v>
      </c>
    </row>
    <row r="37" spans="1:21">
      <c r="A37" s="9" t="s">
        <v>150</v>
      </c>
      <c r="B37" s="23">
        <v>46309</v>
      </c>
      <c r="C37" s="10" t="s">
        <v>116</v>
      </c>
      <c r="D37" s="10" t="s">
        <v>117</v>
      </c>
      <c r="E37" s="10" t="s">
        <v>69</v>
      </c>
      <c r="F37" s="26">
        <v>1050</v>
      </c>
      <c r="G37" s="29">
        <v>7.1</v>
      </c>
      <c r="H37" s="29">
        <v>4.8</v>
      </c>
      <c r="I37" s="10" t="s">
        <v>111</v>
      </c>
      <c r="J37" s="10" t="str">
        <f>VLOOKUP(D37,Productos!$A$4:$D$8,2,FALSE)</f>
        <v>Cacao en grano</v>
      </c>
      <c r="K37" s="10" t="str">
        <f>VLOOKUP(D37,Productos!$A$4:$D$8,3,FALSE)</f>
        <v>Cacao</v>
      </c>
      <c r="L37" s="10" t="str">
        <f>VLOOKUP(E37,Mercados!$A$4:$D$9,2,FALSE)</f>
        <v>Europa</v>
      </c>
      <c r="M37" s="16">
        <f>VLOOKUP(E37,Mercados!$A$4:$D$9,3,FALSE)</f>
        <v>0.1</v>
      </c>
      <c r="N37" s="10" t="str">
        <f>VLOOKUP(E37,Mercados!$A$4:$D$9,4,FALSE)</f>
        <v>Potencial</v>
      </c>
      <c r="O37" s="29">
        <f t="shared" si="7"/>
        <v>7455</v>
      </c>
      <c r="P37" s="29">
        <f t="shared" si="8"/>
        <v>5040</v>
      </c>
      <c r="Q37" s="29">
        <f t="shared" si="9"/>
        <v>2415</v>
      </c>
      <c r="R37" s="16">
        <f t="shared" si="10"/>
        <v>0.323943661971831</v>
      </c>
      <c r="S37" s="10" t="str">
        <f t="shared" si="11"/>
        <v>Alta</v>
      </c>
      <c r="T37" s="10" t="str">
        <f t="shared" si="12"/>
        <v>Mediana</v>
      </c>
      <c r="U37" s="11" t="str">
        <f t="shared" si="13"/>
        <v>Media</v>
      </c>
    </row>
    <row r="38" spans="1:21">
      <c r="A38" s="9" t="s">
        <v>151</v>
      </c>
      <c r="B38" s="23">
        <v>46317</v>
      </c>
      <c r="C38" s="10" t="s">
        <v>120</v>
      </c>
      <c r="D38" s="10" t="s">
        <v>106</v>
      </c>
      <c r="E38" s="10" t="s">
        <v>73</v>
      </c>
      <c r="F38" s="26">
        <v>750</v>
      </c>
      <c r="G38" s="29">
        <v>4.8</v>
      </c>
      <c r="H38" s="29">
        <v>3.2</v>
      </c>
      <c r="I38" s="10" t="s">
        <v>107</v>
      </c>
      <c r="J38" s="10" t="str">
        <f>VLOOKUP(D38,Productos!$A$4:$D$8,2,FALSE)</f>
        <v>Miel natural</v>
      </c>
      <c r="K38" s="10" t="str">
        <f>VLOOKUP(D38,Productos!$A$4:$D$8,3,FALSE)</f>
        <v>Apícola</v>
      </c>
      <c r="L38" s="10" t="str">
        <f>VLOOKUP(E38,Mercados!$A$4:$D$9,2,FALSE)</f>
        <v>Norteamérica</v>
      </c>
      <c r="M38" s="16">
        <f>VLOOKUP(E38,Mercados!$A$4:$D$9,3,FALSE)</f>
        <v>0.08</v>
      </c>
      <c r="N38" s="10" t="str">
        <f>VLOOKUP(E38,Mercados!$A$4:$D$9,4,FALSE)</f>
        <v>Potencial</v>
      </c>
      <c r="O38" s="29">
        <f t="shared" si="7"/>
        <v>3600</v>
      </c>
      <c r="P38" s="29">
        <f t="shared" si="8"/>
        <v>2400</v>
      </c>
      <c r="Q38" s="29">
        <f t="shared" si="9"/>
        <v>1200</v>
      </c>
      <c r="R38" s="16">
        <f t="shared" si="10"/>
        <v>0.33333333333333331</v>
      </c>
      <c r="S38" s="10" t="str">
        <f t="shared" si="11"/>
        <v>Alta</v>
      </c>
      <c r="T38" s="10" t="str">
        <f t="shared" si="12"/>
        <v>Pequeña</v>
      </c>
      <c r="U38" s="11" t="str">
        <f t="shared" si="13"/>
        <v>Media</v>
      </c>
    </row>
    <row r="39" spans="1:21">
      <c r="A39" s="9" t="s">
        <v>152</v>
      </c>
      <c r="B39" s="23">
        <v>46325</v>
      </c>
      <c r="C39" s="10" t="s">
        <v>109</v>
      </c>
      <c r="D39" s="10" t="s">
        <v>114</v>
      </c>
      <c r="E39" s="10" t="s">
        <v>65</v>
      </c>
      <c r="F39" s="26">
        <v>900</v>
      </c>
      <c r="G39" s="29">
        <v>8.1999999999999993</v>
      </c>
      <c r="H39" s="29">
        <v>5.9</v>
      </c>
      <c r="I39" s="10" t="s">
        <v>111</v>
      </c>
      <c r="J39" s="10" t="str">
        <f>VLOOKUP(D39,Productos!$A$4:$D$8,2,FALSE)</f>
        <v>Maní procesado</v>
      </c>
      <c r="K39" s="10" t="str">
        <f>VLOOKUP(D39,Productos!$A$4:$D$8,3,FALSE)</f>
        <v>Semillas</v>
      </c>
      <c r="L39" s="10" t="str">
        <f>VLOOKUP(E39,Mercados!$A$4:$D$9,2,FALSE)</f>
        <v>Norteamérica</v>
      </c>
      <c r="M39" s="16">
        <f>VLOOKUP(E39,Mercados!$A$4:$D$9,3,FALSE)</f>
        <v>0.05</v>
      </c>
      <c r="N39" s="10" t="str">
        <f>VLOOKUP(E39,Mercados!$A$4:$D$9,4,FALSE)</f>
        <v>Estratégico</v>
      </c>
      <c r="O39" s="29">
        <f t="shared" si="7"/>
        <v>7379.9999999999991</v>
      </c>
      <c r="P39" s="29">
        <f t="shared" si="8"/>
        <v>5310</v>
      </c>
      <c r="Q39" s="29">
        <f t="shared" si="9"/>
        <v>2069.9999999999991</v>
      </c>
      <c r="R39" s="16">
        <f t="shared" si="10"/>
        <v>0.2804878048780487</v>
      </c>
      <c r="S39" s="10" t="str">
        <f t="shared" si="11"/>
        <v>Media</v>
      </c>
      <c r="T39" s="10" t="str">
        <f t="shared" si="12"/>
        <v>Mediana</v>
      </c>
      <c r="U39" s="11" t="str">
        <f t="shared" si="13"/>
        <v>Media</v>
      </c>
    </row>
    <row r="40" spans="1:21">
      <c r="A40" s="9" t="s">
        <v>153</v>
      </c>
      <c r="B40" s="23">
        <v>46333</v>
      </c>
      <c r="C40" s="10" t="s">
        <v>105</v>
      </c>
      <c r="D40" s="10" t="s">
        <v>110</v>
      </c>
      <c r="E40" s="10" t="s">
        <v>77</v>
      </c>
      <c r="F40" s="26">
        <v>1150</v>
      </c>
      <c r="G40" s="29">
        <v>6.5</v>
      </c>
      <c r="H40" s="29">
        <v>4.0999999999999996</v>
      </c>
      <c r="I40" s="10" t="s">
        <v>111</v>
      </c>
      <c r="J40" s="10" t="str">
        <f>VLOOKUP(D40,Productos!$A$4:$D$8,2,FALSE)</f>
        <v>Café especial</v>
      </c>
      <c r="K40" s="10" t="str">
        <f>VLOOKUP(D40,Productos!$A$4:$D$8,3,FALSE)</f>
        <v>Café</v>
      </c>
      <c r="L40" s="10" t="str">
        <f>VLOOKUP(E40,Mercados!$A$4:$D$9,2,FALSE)</f>
        <v>Centroamérica</v>
      </c>
      <c r="M40" s="16">
        <f>VLOOKUP(E40,Mercados!$A$4:$D$9,3,FALSE)</f>
        <v>0.03</v>
      </c>
      <c r="N40" s="10" t="str">
        <f>VLOOKUP(E40,Mercados!$A$4:$D$9,4,FALSE)</f>
        <v>Estratégico</v>
      </c>
      <c r="O40" s="29">
        <f t="shared" si="7"/>
        <v>7475</v>
      </c>
      <c r="P40" s="29">
        <f t="shared" si="8"/>
        <v>4715</v>
      </c>
      <c r="Q40" s="29">
        <f t="shared" si="9"/>
        <v>2760</v>
      </c>
      <c r="R40" s="16">
        <f t="shared" si="10"/>
        <v>0.36923076923076925</v>
      </c>
      <c r="S40" s="10" t="str">
        <f t="shared" si="11"/>
        <v>Alta</v>
      </c>
      <c r="T40" s="10" t="str">
        <f t="shared" si="12"/>
        <v>Mediana</v>
      </c>
      <c r="U40" s="11" t="str">
        <f t="shared" si="13"/>
        <v>Alta</v>
      </c>
    </row>
    <row r="41" spans="1:21">
      <c r="A41" s="9" t="s">
        <v>154</v>
      </c>
      <c r="B41" s="23">
        <v>46341</v>
      </c>
      <c r="C41" s="10" t="s">
        <v>113</v>
      </c>
      <c r="D41" s="10" t="s">
        <v>121</v>
      </c>
      <c r="E41" s="10" t="s">
        <v>79</v>
      </c>
      <c r="F41" s="26">
        <v>580</v>
      </c>
      <c r="G41" s="29">
        <v>12.5</v>
      </c>
      <c r="H41" s="29">
        <v>8.6999999999999993</v>
      </c>
      <c r="I41" s="10" t="s">
        <v>107</v>
      </c>
      <c r="J41" s="10" t="str">
        <f>VLOOKUP(D41,Productos!$A$4:$D$8,2,FALSE)</f>
        <v>Aceite de ajonjolí</v>
      </c>
      <c r="K41" s="10" t="str">
        <f>VLOOKUP(D41,Productos!$A$4:$D$8,3,FALSE)</f>
        <v>Aceites</v>
      </c>
      <c r="L41" s="10" t="str">
        <f>VLOOKUP(E41,Mercados!$A$4:$D$9,2,FALSE)</f>
        <v>Centroamérica</v>
      </c>
      <c r="M41" s="16">
        <f>VLOOKUP(E41,Mercados!$A$4:$D$9,3,FALSE)</f>
        <v>0.02</v>
      </c>
      <c r="N41" s="10" t="str">
        <f>VLOOKUP(E41,Mercados!$A$4:$D$9,4,FALSE)</f>
        <v>Estratégico</v>
      </c>
      <c r="O41" s="29">
        <f t="shared" si="7"/>
        <v>7250</v>
      </c>
      <c r="P41" s="29">
        <f t="shared" si="8"/>
        <v>5046</v>
      </c>
      <c r="Q41" s="29">
        <f t="shared" si="9"/>
        <v>2204</v>
      </c>
      <c r="R41" s="16">
        <f t="shared" si="10"/>
        <v>0.30399999999999999</v>
      </c>
      <c r="S41" s="10" t="str">
        <f t="shared" si="11"/>
        <v>Alta</v>
      </c>
      <c r="T41" s="10" t="str">
        <f t="shared" si="12"/>
        <v>Mediana</v>
      </c>
      <c r="U41" s="11" t="str">
        <f t="shared" si="13"/>
        <v>Alta</v>
      </c>
    </row>
    <row r="42" spans="1:21">
      <c r="A42" s="9" t="s">
        <v>155</v>
      </c>
      <c r="B42" s="23">
        <v>46349</v>
      </c>
      <c r="C42" s="10" t="s">
        <v>116</v>
      </c>
      <c r="D42" s="10" t="s">
        <v>106</v>
      </c>
      <c r="E42" s="10" t="s">
        <v>69</v>
      </c>
      <c r="F42" s="26">
        <v>1300</v>
      </c>
      <c r="G42" s="29">
        <v>4.8</v>
      </c>
      <c r="H42" s="29">
        <v>3.2</v>
      </c>
      <c r="I42" s="10" t="s">
        <v>118</v>
      </c>
      <c r="J42" s="10" t="str">
        <f>VLOOKUP(D42,Productos!$A$4:$D$8,2,FALSE)</f>
        <v>Miel natural</v>
      </c>
      <c r="K42" s="10" t="str">
        <f>VLOOKUP(D42,Productos!$A$4:$D$8,3,FALSE)</f>
        <v>Apícola</v>
      </c>
      <c r="L42" s="10" t="str">
        <f>VLOOKUP(E42,Mercados!$A$4:$D$9,2,FALSE)</f>
        <v>Europa</v>
      </c>
      <c r="M42" s="16">
        <f>VLOOKUP(E42,Mercados!$A$4:$D$9,3,FALSE)</f>
        <v>0.1</v>
      </c>
      <c r="N42" s="10" t="str">
        <f>VLOOKUP(E42,Mercados!$A$4:$D$9,4,FALSE)</f>
        <v>Potencial</v>
      </c>
      <c r="O42" s="29">
        <f t="shared" si="7"/>
        <v>6240</v>
      </c>
      <c r="P42" s="29">
        <f t="shared" si="8"/>
        <v>4160</v>
      </c>
      <c r="Q42" s="29">
        <f t="shared" si="9"/>
        <v>2080</v>
      </c>
      <c r="R42" s="16">
        <f t="shared" si="10"/>
        <v>0.33333333333333331</v>
      </c>
      <c r="S42" s="10" t="str">
        <f t="shared" si="11"/>
        <v>Alta</v>
      </c>
      <c r="T42" s="10" t="str">
        <f t="shared" si="12"/>
        <v>Mediana</v>
      </c>
      <c r="U42" s="11" t="str">
        <f t="shared" si="13"/>
        <v>Media</v>
      </c>
    </row>
    <row r="43" spans="1:21">
      <c r="A43" s="9" t="s">
        <v>156</v>
      </c>
      <c r="B43" s="23">
        <v>46357</v>
      </c>
      <c r="C43" s="10" t="s">
        <v>120</v>
      </c>
      <c r="D43" s="10" t="s">
        <v>117</v>
      </c>
      <c r="E43" s="10" t="s">
        <v>73</v>
      </c>
      <c r="F43" s="26">
        <v>900</v>
      </c>
      <c r="G43" s="29">
        <v>7.1</v>
      </c>
      <c r="H43" s="29">
        <v>4.8</v>
      </c>
      <c r="I43" s="10" t="s">
        <v>111</v>
      </c>
      <c r="J43" s="10" t="str">
        <f>VLOOKUP(D43,Productos!$A$4:$D$8,2,FALSE)</f>
        <v>Cacao en grano</v>
      </c>
      <c r="K43" s="10" t="str">
        <f>VLOOKUP(D43,Productos!$A$4:$D$8,3,FALSE)</f>
        <v>Cacao</v>
      </c>
      <c r="L43" s="10" t="str">
        <f>VLOOKUP(E43,Mercados!$A$4:$D$9,2,FALSE)</f>
        <v>Norteamérica</v>
      </c>
      <c r="M43" s="16">
        <f>VLOOKUP(E43,Mercados!$A$4:$D$9,3,FALSE)</f>
        <v>0.08</v>
      </c>
      <c r="N43" s="10" t="str">
        <f>VLOOKUP(E43,Mercados!$A$4:$D$9,4,FALSE)</f>
        <v>Potencial</v>
      </c>
      <c r="O43" s="29">
        <f t="shared" si="7"/>
        <v>6390</v>
      </c>
      <c r="P43" s="29">
        <f t="shared" si="8"/>
        <v>4320</v>
      </c>
      <c r="Q43" s="29">
        <f t="shared" si="9"/>
        <v>2070</v>
      </c>
      <c r="R43" s="16">
        <f t="shared" si="10"/>
        <v>0.323943661971831</v>
      </c>
      <c r="S43" s="10" t="str">
        <f t="shared" si="11"/>
        <v>Alta</v>
      </c>
      <c r="T43" s="10" t="str">
        <f t="shared" si="12"/>
        <v>Mediana</v>
      </c>
      <c r="U43" s="11" t="str">
        <f t="shared" si="13"/>
        <v>Media</v>
      </c>
    </row>
    <row r="44" spans="1:21">
      <c r="A44" s="9" t="s">
        <v>157</v>
      </c>
      <c r="B44" s="23">
        <v>46364</v>
      </c>
      <c r="C44" s="10" t="s">
        <v>109</v>
      </c>
      <c r="D44" s="10" t="s">
        <v>110</v>
      </c>
      <c r="E44" s="10" t="s">
        <v>65</v>
      </c>
      <c r="F44" s="26">
        <v>1400</v>
      </c>
      <c r="G44" s="29">
        <v>6.5</v>
      </c>
      <c r="H44" s="29">
        <v>4.0999999999999996</v>
      </c>
      <c r="I44" s="10" t="s">
        <v>107</v>
      </c>
      <c r="J44" s="10" t="str">
        <f>VLOOKUP(D44,Productos!$A$4:$D$8,2,FALSE)</f>
        <v>Café especial</v>
      </c>
      <c r="K44" s="10" t="str">
        <f>VLOOKUP(D44,Productos!$A$4:$D$8,3,FALSE)</f>
        <v>Café</v>
      </c>
      <c r="L44" s="10" t="str">
        <f>VLOOKUP(E44,Mercados!$A$4:$D$9,2,FALSE)</f>
        <v>Norteamérica</v>
      </c>
      <c r="M44" s="16">
        <f>VLOOKUP(E44,Mercados!$A$4:$D$9,3,FALSE)</f>
        <v>0.05</v>
      </c>
      <c r="N44" s="10" t="str">
        <f>VLOOKUP(E44,Mercados!$A$4:$D$9,4,FALSE)</f>
        <v>Estratégico</v>
      </c>
      <c r="O44" s="29">
        <f t="shared" si="7"/>
        <v>9100</v>
      </c>
      <c r="P44" s="29">
        <f t="shared" si="8"/>
        <v>5739.9999999999991</v>
      </c>
      <c r="Q44" s="29">
        <f t="shared" si="9"/>
        <v>3360.0000000000009</v>
      </c>
      <c r="R44" s="16">
        <f t="shared" si="10"/>
        <v>0.36923076923076931</v>
      </c>
      <c r="S44" s="10" t="str">
        <f t="shared" si="11"/>
        <v>Alta</v>
      </c>
      <c r="T44" s="10" t="str">
        <f t="shared" si="12"/>
        <v>Mediana</v>
      </c>
      <c r="U44" s="11" t="str">
        <f t="shared" si="13"/>
        <v>Alta</v>
      </c>
    </row>
    <row r="45" spans="1:21">
      <c r="A45" s="9" t="s">
        <v>158</v>
      </c>
      <c r="B45" s="23">
        <v>46371</v>
      </c>
      <c r="C45" s="10" t="s">
        <v>105</v>
      </c>
      <c r="D45" s="10" t="s">
        <v>114</v>
      </c>
      <c r="E45" s="10" t="s">
        <v>77</v>
      </c>
      <c r="F45" s="26">
        <v>800</v>
      </c>
      <c r="G45" s="29">
        <v>8.1999999999999993</v>
      </c>
      <c r="H45" s="29">
        <v>5.9</v>
      </c>
      <c r="I45" s="10" t="s">
        <v>111</v>
      </c>
      <c r="J45" s="10" t="str">
        <f>VLOOKUP(D45,Productos!$A$4:$D$8,2,FALSE)</f>
        <v>Maní procesado</v>
      </c>
      <c r="K45" s="10" t="str">
        <f>VLOOKUP(D45,Productos!$A$4:$D$8,3,FALSE)</f>
        <v>Semillas</v>
      </c>
      <c r="L45" s="10" t="str">
        <f>VLOOKUP(E45,Mercados!$A$4:$D$9,2,FALSE)</f>
        <v>Centroamérica</v>
      </c>
      <c r="M45" s="16">
        <f>VLOOKUP(E45,Mercados!$A$4:$D$9,3,FALSE)</f>
        <v>0.03</v>
      </c>
      <c r="N45" s="10" t="str">
        <f>VLOOKUP(E45,Mercados!$A$4:$D$9,4,FALSE)</f>
        <v>Estratégico</v>
      </c>
      <c r="O45" s="29">
        <f t="shared" si="7"/>
        <v>6559.9999999999991</v>
      </c>
      <c r="P45" s="29">
        <f t="shared" si="8"/>
        <v>4720</v>
      </c>
      <c r="Q45" s="29">
        <f t="shared" si="9"/>
        <v>1839.9999999999991</v>
      </c>
      <c r="R45" s="16">
        <f t="shared" si="10"/>
        <v>0.2804878048780487</v>
      </c>
      <c r="S45" s="10" t="str">
        <f t="shared" si="11"/>
        <v>Media</v>
      </c>
      <c r="T45" s="10" t="str">
        <f t="shared" si="12"/>
        <v>Mediana</v>
      </c>
      <c r="U45" s="11" t="str">
        <f t="shared" si="13"/>
        <v>Media</v>
      </c>
    </row>
    <row r="46" spans="1:21">
      <c r="A46" s="9" t="s">
        <v>159</v>
      </c>
      <c r="B46" s="23">
        <v>46378</v>
      </c>
      <c r="C46" s="10" t="s">
        <v>113</v>
      </c>
      <c r="D46" s="10" t="s">
        <v>106</v>
      </c>
      <c r="E46" s="10" t="s">
        <v>79</v>
      </c>
      <c r="F46" s="26">
        <v>1000</v>
      </c>
      <c r="G46" s="29">
        <v>4.8</v>
      </c>
      <c r="H46" s="29">
        <v>3.2</v>
      </c>
      <c r="I46" s="10" t="s">
        <v>111</v>
      </c>
      <c r="J46" s="10" t="str">
        <f>VLOOKUP(D46,Productos!$A$4:$D$8,2,FALSE)</f>
        <v>Miel natural</v>
      </c>
      <c r="K46" s="10" t="str">
        <f>VLOOKUP(D46,Productos!$A$4:$D$8,3,FALSE)</f>
        <v>Apícola</v>
      </c>
      <c r="L46" s="10" t="str">
        <f>VLOOKUP(E46,Mercados!$A$4:$D$9,2,FALSE)</f>
        <v>Centroamérica</v>
      </c>
      <c r="M46" s="16">
        <f>VLOOKUP(E46,Mercados!$A$4:$D$9,3,FALSE)</f>
        <v>0.02</v>
      </c>
      <c r="N46" s="10" t="str">
        <f>VLOOKUP(E46,Mercados!$A$4:$D$9,4,FALSE)</f>
        <v>Estratégico</v>
      </c>
      <c r="O46" s="29">
        <f t="shared" si="7"/>
        <v>4800</v>
      </c>
      <c r="P46" s="29">
        <f t="shared" si="8"/>
        <v>3200</v>
      </c>
      <c r="Q46" s="29">
        <f t="shared" si="9"/>
        <v>1600</v>
      </c>
      <c r="R46" s="16">
        <f t="shared" si="10"/>
        <v>0.33333333333333331</v>
      </c>
      <c r="S46" s="10" t="str">
        <f t="shared" si="11"/>
        <v>Alta</v>
      </c>
      <c r="T46" s="10" t="str">
        <f t="shared" si="12"/>
        <v>Pequeña</v>
      </c>
      <c r="U46" s="11" t="str">
        <f t="shared" si="13"/>
        <v>Alta</v>
      </c>
    </row>
    <row r="47" spans="1:21">
      <c r="A47" s="9" t="s">
        <v>160</v>
      </c>
      <c r="B47" s="23">
        <v>46384</v>
      </c>
      <c r="C47" s="10" t="s">
        <v>116</v>
      </c>
      <c r="D47" s="10" t="s">
        <v>121</v>
      </c>
      <c r="E47" s="10" t="s">
        <v>69</v>
      </c>
      <c r="F47" s="26">
        <v>650</v>
      </c>
      <c r="G47" s="29">
        <v>12.5</v>
      </c>
      <c r="H47" s="29">
        <v>8.6999999999999993</v>
      </c>
      <c r="I47" s="10" t="s">
        <v>107</v>
      </c>
      <c r="J47" s="10" t="str">
        <f>VLOOKUP(D47,Productos!$A$4:$D$8,2,FALSE)</f>
        <v>Aceite de ajonjolí</v>
      </c>
      <c r="K47" s="10" t="str">
        <f>VLOOKUP(D47,Productos!$A$4:$D$8,3,FALSE)</f>
        <v>Aceites</v>
      </c>
      <c r="L47" s="10" t="str">
        <f>VLOOKUP(E47,Mercados!$A$4:$D$9,2,FALSE)</f>
        <v>Europa</v>
      </c>
      <c r="M47" s="16">
        <f>VLOOKUP(E47,Mercados!$A$4:$D$9,3,FALSE)</f>
        <v>0.1</v>
      </c>
      <c r="N47" s="10" t="str">
        <f>VLOOKUP(E47,Mercados!$A$4:$D$9,4,FALSE)</f>
        <v>Potencial</v>
      </c>
      <c r="O47" s="29">
        <f t="shared" si="7"/>
        <v>8125</v>
      </c>
      <c r="P47" s="29">
        <f t="shared" si="8"/>
        <v>5654.9999999999991</v>
      </c>
      <c r="Q47" s="29">
        <f t="shared" si="9"/>
        <v>2470.0000000000009</v>
      </c>
      <c r="R47" s="16">
        <f t="shared" si="10"/>
        <v>0.3040000000000001</v>
      </c>
      <c r="S47" s="10" t="str">
        <f t="shared" si="11"/>
        <v>Alta</v>
      </c>
      <c r="T47" s="10" t="str">
        <f t="shared" si="12"/>
        <v>Mediana</v>
      </c>
      <c r="U47" s="11" t="str">
        <f t="shared" si="13"/>
        <v>Media</v>
      </c>
    </row>
    <row r="48" spans="1:21">
      <c r="A48" s="9" t="s">
        <v>161</v>
      </c>
      <c r="B48" s="23">
        <v>46026</v>
      </c>
      <c r="C48" s="10" t="s">
        <v>120</v>
      </c>
      <c r="D48" s="10" t="s">
        <v>110</v>
      </c>
      <c r="E48" s="10" t="s">
        <v>73</v>
      </c>
      <c r="F48" s="26">
        <v>780</v>
      </c>
      <c r="G48" s="29">
        <v>6.5</v>
      </c>
      <c r="H48" s="29">
        <v>4.0999999999999996</v>
      </c>
      <c r="I48" s="10" t="s">
        <v>111</v>
      </c>
      <c r="J48" s="10" t="str">
        <f>VLOOKUP(D48,Productos!$A$4:$D$8,2,FALSE)</f>
        <v>Café especial</v>
      </c>
      <c r="K48" s="10" t="str">
        <f>VLOOKUP(D48,Productos!$A$4:$D$8,3,FALSE)</f>
        <v>Café</v>
      </c>
      <c r="L48" s="10" t="str">
        <f>VLOOKUP(E48,Mercados!$A$4:$D$9,2,FALSE)</f>
        <v>Norteamérica</v>
      </c>
      <c r="M48" s="16">
        <f>VLOOKUP(E48,Mercados!$A$4:$D$9,3,FALSE)</f>
        <v>0.08</v>
      </c>
      <c r="N48" s="10" t="str">
        <f>VLOOKUP(E48,Mercados!$A$4:$D$9,4,FALSE)</f>
        <v>Potencial</v>
      </c>
      <c r="O48" s="29">
        <f t="shared" si="7"/>
        <v>5070</v>
      </c>
      <c r="P48" s="29">
        <f t="shared" si="8"/>
        <v>3197.9999999999995</v>
      </c>
      <c r="Q48" s="29">
        <f t="shared" si="9"/>
        <v>1872.0000000000005</v>
      </c>
      <c r="R48" s="16">
        <f t="shared" si="10"/>
        <v>0.36923076923076931</v>
      </c>
      <c r="S48" s="10" t="str">
        <f t="shared" si="11"/>
        <v>Alta</v>
      </c>
      <c r="T48" s="10" t="str">
        <f t="shared" si="12"/>
        <v>Mediana</v>
      </c>
      <c r="U48" s="11" t="str">
        <f t="shared" si="13"/>
        <v>Media</v>
      </c>
    </row>
    <row r="49" spans="1:21">
      <c r="A49" s="9" t="s">
        <v>162</v>
      </c>
      <c r="B49" s="23">
        <v>46033</v>
      </c>
      <c r="C49" s="10" t="s">
        <v>109</v>
      </c>
      <c r="D49" s="10" t="s">
        <v>117</v>
      </c>
      <c r="E49" s="10" t="s">
        <v>65</v>
      </c>
      <c r="F49" s="26">
        <v>1180</v>
      </c>
      <c r="G49" s="29">
        <v>7.1</v>
      </c>
      <c r="H49" s="29">
        <v>4.8</v>
      </c>
      <c r="I49" s="10" t="s">
        <v>118</v>
      </c>
      <c r="J49" s="10" t="str">
        <f>VLOOKUP(D49,Productos!$A$4:$D$8,2,FALSE)</f>
        <v>Cacao en grano</v>
      </c>
      <c r="K49" s="10" t="str">
        <f>VLOOKUP(D49,Productos!$A$4:$D$8,3,FALSE)</f>
        <v>Cacao</v>
      </c>
      <c r="L49" s="10" t="str">
        <f>VLOOKUP(E49,Mercados!$A$4:$D$9,2,FALSE)</f>
        <v>Norteamérica</v>
      </c>
      <c r="M49" s="16">
        <f>VLOOKUP(E49,Mercados!$A$4:$D$9,3,FALSE)</f>
        <v>0.05</v>
      </c>
      <c r="N49" s="10" t="str">
        <f>VLOOKUP(E49,Mercados!$A$4:$D$9,4,FALSE)</f>
        <v>Estratégico</v>
      </c>
      <c r="O49" s="29">
        <f t="shared" si="7"/>
        <v>8378</v>
      </c>
      <c r="P49" s="29">
        <f t="shared" si="8"/>
        <v>5664</v>
      </c>
      <c r="Q49" s="29">
        <f t="shared" si="9"/>
        <v>2714</v>
      </c>
      <c r="R49" s="16">
        <f t="shared" si="10"/>
        <v>0.323943661971831</v>
      </c>
      <c r="S49" s="10" t="str">
        <f t="shared" si="11"/>
        <v>Alta</v>
      </c>
      <c r="T49" s="10" t="str">
        <f t="shared" si="12"/>
        <v>Mediana</v>
      </c>
      <c r="U49" s="11" t="str">
        <f t="shared" si="13"/>
        <v>Alta</v>
      </c>
    </row>
    <row r="50" spans="1:21">
      <c r="A50" s="9" t="s">
        <v>163</v>
      </c>
      <c r="B50" s="23">
        <v>46040</v>
      </c>
      <c r="C50" s="10" t="s">
        <v>105</v>
      </c>
      <c r="D50" s="10" t="s">
        <v>106</v>
      </c>
      <c r="E50" s="10" t="s">
        <v>77</v>
      </c>
      <c r="F50" s="26">
        <v>920</v>
      </c>
      <c r="G50" s="29">
        <v>4.8</v>
      </c>
      <c r="H50" s="29">
        <v>3.2</v>
      </c>
      <c r="I50" s="10" t="s">
        <v>107</v>
      </c>
      <c r="J50" s="10" t="str">
        <f>VLOOKUP(D50,Productos!$A$4:$D$8,2,FALSE)</f>
        <v>Miel natural</v>
      </c>
      <c r="K50" s="10" t="str">
        <f>VLOOKUP(D50,Productos!$A$4:$D$8,3,FALSE)</f>
        <v>Apícola</v>
      </c>
      <c r="L50" s="10" t="str">
        <f>VLOOKUP(E50,Mercados!$A$4:$D$9,2,FALSE)</f>
        <v>Centroamérica</v>
      </c>
      <c r="M50" s="16">
        <f>VLOOKUP(E50,Mercados!$A$4:$D$9,3,FALSE)</f>
        <v>0.03</v>
      </c>
      <c r="N50" s="10" t="str">
        <f>VLOOKUP(E50,Mercados!$A$4:$D$9,4,FALSE)</f>
        <v>Estratégico</v>
      </c>
      <c r="O50" s="29">
        <f t="shared" si="7"/>
        <v>4416</v>
      </c>
      <c r="P50" s="29">
        <f t="shared" si="8"/>
        <v>2944</v>
      </c>
      <c r="Q50" s="29">
        <f t="shared" si="9"/>
        <v>1472</v>
      </c>
      <c r="R50" s="16">
        <f t="shared" si="10"/>
        <v>0.33333333333333331</v>
      </c>
      <c r="S50" s="10" t="str">
        <f t="shared" si="11"/>
        <v>Alta</v>
      </c>
      <c r="T50" s="10" t="str">
        <f t="shared" si="12"/>
        <v>Pequeña</v>
      </c>
      <c r="U50" s="11" t="str">
        <f t="shared" si="13"/>
        <v>Alta</v>
      </c>
    </row>
    <row r="51" spans="1:21">
      <c r="A51" s="9" t="s">
        <v>164</v>
      </c>
      <c r="B51" s="23">
        <v>46048</v>
      </c>
      <c r="C51" s="10" t="s">
        <v>113</v>
      </c>
      <c r="D51" s="10" t="s">
        <v>114</v>
      </c>
      <c r="E51" s="10" t="s">
        <v>79</v>
      </c>
      <c r="F51" s="26">
        <v>680</v>
      </c>
      <c r="G51" s="29">
        <v>8.1999999999999993</v>
      </c>
      <c r="H51" s="29">
        <v>5.9</v>
      </c>
      <c r="I51" s="10" t="s">
        <v>111</v>
      </c>
      <c r="J51" s="10" t="str">
        <f>VLOOKUP(D51,Productos!$A$4:$D$8,2,FALSE)</f>
        <v>Maní procesado</v>
      </c>
      <c r="K51" s="10" t="str">
        <f>VLOOKUP(D51,Productos!$A$4:$D$8,3,FALSE)</f>
        <v>Semillas</v>
      </c>
      <c r="L51" s="10" t="str">
        <f>VLOOKUP(E51,Mercados!$A$4:$D$9,2,FALSE)</f>
        <v>Centroamérica</v>
      </c>
      <c r="M51" s="16">
        <f>VLOOKUP(E51,Mercados!$A$4:$D$9,3,FALSE)</f>
        <v>0.02</v>
      </c>
      <c r="N51" s="10" t="str">
        <f>VLOOKUP(E51,Mercados!$A$4:$D$9,4,FALSE)</f>
        <v>Estratégico</v>
      </c>
      <c r="O51" s="29">
        <f t="shared" si="7"/>
        <v>5575.9999999999991</v>
      </c>
      <c r="P51" s="29">
        <f t="shared" si="8"/>
        <v>4012.0000000000005</v>
      </c>
      <c r="Q51" s="29">
        <f t="shared" si="9"/>
        <v>1563.9999999999986</v>
      </c>
      <c r="R51" s="16">
        <f t="shared" si="10"/>
        <v>0.28048780487804859</v>
      </c>
      <c r="S51" s="10" t="str">
        <f t="shared" si="11"/>
        <v>Media</v>
      </c>
      <c r="T51" s="10" t="str">
        <f t="shared" si="12"/>
        <v>Mediana</v>
      </c>
      <c r="U51" s="11" t="str">
        <f t="shared" si="13"/>
        <v>Media</v>
      </c>
    </row>
    <row r="52" spans="1:21">
      <c r="A52" s="9" t="s">
        <v>165</v>
      </c>
      <c r="B52" s="23">
        <v>46057</v>
      </c>
      <c r="C52" s="10" t="s">
        <v>116</v>
      </c>
      <c r="D52" s="10" t="s">
        <v>110</v>
      </c>
      <c r="E52" s="10" t="s">
        <v>69</v>
      </c>
      <c r="F52" s="26">
        <v>1080</v>
      </c>
      <c r="G52" s="29">
        <v>6.5</v>
      </c>
      <c r="H52" s="29">
        <v>4.0999999999999996</v>
      </c>
      <c r="I52" s="10" t="s">
        <v>107</v>
      </c>
      <c r="J52" s="10" t="str">
        <f>VLOOKUP(D52,Productos!$A$4:$D$8,2,FALSE)</f>
        <v>Café especial</v>
      </c>
      <c r="K52" s="10" t="str">
        <f>VLOOKUP(D52,Productos!$A$4:$D$8,3,FALSE)</f>
        <v>Café</v>
      </c>
      <c r="L52" s="10" t="str">
        <f>VLOOKUP(E52,Mercados!$A$4:$D$9,2,FALSE)</f>
        <v>Europa</v>
      </c>
      <c r="M52" s="16">
        <f>VLOOKUP(E52,Mercados!$A$4:$D$9,3,FALSE)</f>
        <v>0.1</v>
      </c>
      <c r="N52" s="10" t="str">
        <f>VLOOKUP(E52,Mercados!$A$4:$D$9,4,FALSE)</f>
        <v>Potencial</v>
      </c>
      <c r="O52" s="29">
        <f t="shared" si="7"/>
        <v>7020</v>
      </c>
      <c r="P52" s="29">
        <f t="shared" si="8"/>
        <v>4428</v>
      </c>
      <c r="Q52" s="29">
        <f t="shared" si="9"/>
        <v>2592</v>
      </c>
      <c r="R52" s="16">
        <f t="shared" si="10"/>
        <v>0.36923076923076925</v>
      </c>
      <c r="S52" s="10" t="str">
        <f t="shared" si="11"/>
        <v>Alta</v>
      </c>
      <c r="T52" s="10" t="str">
        <f t="shared" si="12"/>
        <v>Mediana</v>
      </c>
      <c r="U52" s="11" t="str">
        <f t="shared" si="13"/>
        <v>Media</v>
      </c>
    </row>
    <row r="53" spans="1:21">
      <c r="A53" s="9" t="s">
        <v>166</v>
      </c>
      <c r="B53" s="23">
        <v>46065</v>
      </c>
      <c r="C53" s="10" t="s">
        <v>120</v>
      </c>
      <c r="D53" s="10" t="s">
        <v>121</v>
      </c>
      <c r="E53" s="10" t="s">
        <v>73</v>
      </c>
      <c r="F53" s="26">
        <v>520</v>
      </c>
      <c r="G53" s="29">
        <v>12.5</v>
      </c>
      <c r="H53" s="29">
        <v>8.6999999999999993</v>
      </c>
      <c r="I53" s="10" t="s">
        <v>111</v>
      </c>
      <c r="J53" s="10" t="str">
        <f>VLOOKUP(D53,Productos!$A$4:$D$8,2,FALSE)</f>
        <v>Aceite de ajonjolí</v>
      </c>
      <c r="K53" s="10" t="str">
        <f>VLOOKUP(D53,Productos!$A$4:$D$8,3,FALSE)</f>
        <v>Aceites</v>
      </c>
      <c r="L53" s="10" t="str">
        <f>VLOOKUP(E53,Mercados!$A$4:$D$9,2,FALSE)</f>
        <v>Norteamérica</v>
      </c>
      <c r="M53" s="16">
        <f>VLOOKUP(E53,Mercados!$A$4:$D$9,3,FALSE)</f>
        <v>0.08</v>
      </c>
      <c r="N53" s="10" t="str">
        <f>VLOOKUP(E53,Mercados!$A$4:$D$9,4,FALSE)</f>
        <v>Potencial</v>
      </c>
      <c r="O53" s="29">
        <f t="shared" si="7"/>
        <v>6500</v>
      </c>
      <c r="P53" s="29">
        <f t="shared" si="8"/>
        <v>4524</v>
      </c>
      <c r="Q53" s="29">
        <f t="shared" si="9"/>
        <v>1976</v>
      </c>
      <c r="R53" s="16">
        <f t="shared" si="10"/>
        <v>0.30399999999999999</v>
      </c>
      <c r="S53" s="10" t="str">
        <f t="shared" si="11"/>
        <v>Alta</v>
      </c>
      <c r="T53" s="10" t="str">
        <f t="shared" si="12"/>
        <v>Mediana</v>
      </c>
      <c r="U53" s="11" t="str">
        <f t="shared" si="13"/>
        <v>Media</v>
      </c>
    </row>
    <row r="54" spans="1:21">
      <c r="A54" s="9" t="s">
        <v>167</v>
      </c>
      <c r="B54" s="23">
        <v>46074</v>
      </c>
      <c r="C54" s="10" t="s">
        <v>109</v>
      </c>
      <c r="D54" s="10" t="s">
        <v>106</v>
      </c>
      <c r="E54" s="10" t="s">
        <v>65</v>
      </c>
      <c r="F54" s="26">
        <v>1450</v>
      </c>
      <c r="G54" s="29">
        <v>4.8</v>
      </c>
      <c r="H54" s="29">
        <v>3.2</v>
      </c>
      <c r="I54" s="10" t="s">
        <v>111</v>
      </c>
      <c r="J54" s="10" t="str">
        <f>VLOOKUP(D54,Productos!$A$4:$D$8,2,FALSE)</f>
        <v>Miel natural</v>
      </c>
      <c r="K54" s="10" t="str">
        <f>VLOOKUP(D54,Productos!$A$4:$D$8,3,FALSE)</f>
        <v>Apícola</v>
      </c>
      <c r="L54" s="10" t="str">
        <f>VLOOKUP(E54,Mercados!$A$4:$D$9,2,FALSE)</f>
        <v>Norteamérica</v>
      </c>
      <c r="M54" s="16">
        <f>VLOOKUP(E54,Mercados!$A$4:$D$9,3,FALSE)</f>
        <v>0.05</v>
      </c>
      <c r="N54" s="10" t="str">
        <f>VLOOKUP(E54,Mercados!$A$4:$D$9,4,FALSE)</f>
        <v>Estratégico</v>
      </c>
      <c r="O54" s="29">
        <f t="shared" si="7"/>
        <v>6960</v>
      </c>
      <c r="P54" s="29">
        <f t="shared" si="8"/>
        <v>4640</v>
      </c>
      <c r="Q54" s="29">
        <f t="shared" si="9"/>
        <v>2320</v>
      </c>
      <c r="R54" s="16">
        <f t="shared" si="10"/>
        <v>0.33333333333333331</v>
      </c>
      <c r="S54" s="10" t="str">
        <f t="shared" si="11"/>
        <v>Alta</v>
      </c>
      <c r="T54" s="10" t="str">
        <f t="shared" si="12"/>
        <v>Mediana</v>
      </c>
      <c r="U54" s="11" t="str">
        <f t="shared" si="13"/>
        <v>Alta</v>
      </c>
    </row>
    <row r="55" spans="1:21">
      <c r="A55" s="9" t="s">
        <v>168</v>
      </c>
      <c r="B55" s="23">
        <v>46082</v>
      </c>
      <c r="C55" s="10" t="s">
        <v>105</v>
      </c>
      <c r="D55" s="10" t="s">
        <v>117</v>
      </c>
      <c r="E55" s="10" t="s">
        <v>77</v>
      </c>
      <c r="F55" s="26">
        <v>880</v>
      </c>
      <c r="G55" s="29">
        <v>7.1</v>
      </c>
      <c r="H55" s="29">
        <v>4.8</v>
      </c>
      <c r="I55" s="10" t="s">
        <v>118</v>
      </c>
      <c r="J55" s="10" t="str">
        <f>VLOOKUP(D55,Productos!$A$4:$D$8,2,FALSE)</f>
        <v>Cacao en grano</v>
      </c>
      <c r="K55" s="10" t="str">
        <f>VLOOKUP(D55,Productos!$A$4:$D$8,3,FALSE)</f>
        <v>Cacao</v>
      </c>
      <c r="L55" s="10" t="str">
        <f>VLOOKUP(E55,Mercados!$A$4:$D$9,2,FALSE)</f>
        <v>Centroamérica</v>
      </c>
      <c r="M55" s="16">
        <f>VLOOKUP(E55,Mercados!$A$4:$D$9,3,FALSE)</f>
        <v>0.03</v>
      </c>
      <c r="N55" s="10" t="str">
        <f>VLOOKUP(E55,Mercados!$A$4:$D$9,4,FALSE)</f>
        <v>Estratégico</v>
      </c>
      <c r="O55" s="29">
        <f t="shared" si="7"/>
        <v>6248</v>
      </c>
      <c r="P55" s="29">
        <f t="shared" si="8"/>
        <v>4224</v>
      </c>
      <c r="Q55" s="29">
        <f t="shared" si="9"/>
        <v>2024</v>
      </c>
      <c r="R55" s="16">
        <f t="shared" si="10"/>
        <v>0.323943661971831</v>
      </c>
      <c r="S55" s="10" t="str">
        <f t="shared" si="11"/>
        <v>Alta</v>
      </c>
      <c r="T55" s="10" t="str">
        <f t="shared" si="12"/>
        <v>Mediana</v>
      </c>
      <c r="U55" s="11" t="str">
        <f t="shared" si="13"/>
        <v>Alta</v>
      </c>
    </row>
    <row r="56" spans="1:21">
      <c r="A56" s="9" t="s">
        <v>169</v>
      </c>
      <c r="B56" s="23">
        <v>46091</v>
      </c>
      <c r="C56" s="10" t="s">
        <v>113</v>
      </c>
      <c r="D56" s="10" t="s">
        <v>110</v>
      </c>
      <c r="E56" s="10" t="s">
        <v>79</v>
      </c>
      <c r="F56" s="26">
        <v>970</v>
      </c>
      <c r="G56" s="29">
        <v>6.5</v>
      </c>
      <c r="H56" s="29">
        <v>4.0999999999999996</v>
      </c>
      <c r="I56" s="10" t="s">
        <v>107</v>
      </c>
      <c r="J56" s="10" t="str">
        <f>VLOOKUP(D56,Productos!$A$4:$D$8,2,FALSE)</f>
        <v>Café especial</v>
      </c>
      <c r="K56" s="10" t="str">
        <f>VLOOKUP(D56,Productos!$A$4:$D$8,3,FALSE)</f>
        <v>Café</v>
      </c>
      <c r="L56" s="10" t="str">
        <f>VLOOKUP(E56,Mercados!$A$4:$D$9,2,FALSE)</f>
        <v>Centroamérica</v>
      </c>
      <c r="M56" s="16">
        <f>VLOOKUP(E56,Mercados!$A$4:$D$9,3,FALSE)</f>
        <v>0.02</v>
      </c>
      <c r="N56" s="10" t="str">
        <f>VLOOKUP(E56,Mercados!$A$4:$D$9,4,FALSE)</f>
        <v>Estratégico</v>
      </c>
      <c r="O56" s="29">
        <f t="shared" si="7"/>
        <v>6305</v>
      </c>
      <c r="P56" s="29">
        <f t="shared" si="8"/>
        <v>3976.9999999999995</v>
      </c>
      <c r="Q56" s="29">
        <f t="shared" si="9"/>
        <v>2328.0000000000005</v>
      </c>
      <c r="R56" s="16">
        <f t="shared" si="10"/>
        <v>0.36923076923076931</v>
      </c>
      <c r="S56" s="10" t="str">
        <f t="shared" si="11"/>
        <v>Alta</v>
      </c>
      <c r="T56" s="10" t="str">
        <f t="shared" si="12"/>
        <v>Mediana</v>
      </c>
      <c r="U56" s="11" t="str">
        <f t="shared" si="13"/>
        <v>Alta</v>
      </c>
    </row>
    <row r="57" spans="1:21">
      <c r="A57" s="9" t="s">
        <v>170</v>
      </c>
      <c r="B57" s="23">
        <v>46100</v>
      </c>
      <c r="C57" s="10" t="s">
        <v>116</v>
      </c>
      <c r="D57" s="10" t="s">
        <v>114</v>
      </c>
      <c r="E57" s="10" t="s">
        <v>69</v>
      </c>
      <c r="F57" s="26">
        <v>760</v>
      </c>
      <c r="G57" s="29">
        <v>8.1999999999999993</v>
      </c>
      <c r="H57" s="29">
        <v>5.9</v>
      </c>
      <c r="I57" s="10" t="s">
        <v>111</v>
      </c>
      <c r="J57" s="10" t="str">
        <f>VLOOKUP(D57,Productos!$A$4:$D$8,2,FALSE)</f>
        <v>Maní procesado</v>
      </c>
      <c r="K57" s="10" t="str">
        <f>VLOOKUP(D57,Productos!$A$4:$D$8,3,FALSE)</f>
        <v>Semillas</v>
      </c>
      <c r="L57" s="10" t="str">
        <f>VLOOKUP(E57,Mercados!$A$4:$D$9,2,FALSE)</f>
        <v>Europa</v>
      </c>
      <c r="M57" s="16">
        <f>VLOOKUP(E57,Mercados!$A$4:$D$9,3,FALSE)</f>
        <v>0.1</v>
      </c>
      <c r="N57" s="10" t="str">
        <f>VLOOKUP(E57,Mercados!$A$4:$D$9,4,FALSE)</f>
        <v>Potencial</v>
      </c>
      <c r="O57" s="29">
        <f t="shared" si="7"/>
        <v>6231.9999999999991</v>
      </c>
      <c r="P57" s="29">
        <f t="shared" si="8"/>
        <v>4484</v>
      </c>
      <c r="Q57" s="29">
        <f t="shared" si="9"/>
        <v>1747.9999999999991</v>
      </c>
      <c r="R57" s="16">
        <f t="shared" si="10"/>
        <v>0.2804878048780487</v>
      </c>
      <c r="S57" s="10" t="str">
        <f t="shared" si="11"/>
        <v>Media</v>
      </c>
      <c r="T57" s="10" t="str">
        <f t="shared" si="12"/>
        <v>Mediana</v>
      </c>
      <c r="U57" s="11" t="str">
        <f t="shared" si="13"/>
        <v>Baja</v>
      </c>
    </row>
    <row r="58" spans="1:21">
      <c r="A58" s="9" t="s">
        <v>171</v>
      </c>
      <c r="B58" s="23">
        <v>46109</v>
      </c>
      <c r="C58" s="10" t="s">
        <v>120</v>
      </c>
      <c r="D58" s="10" t="s">
        <v>106</v>
      </c>
      <c r="E58" s="10" t="s">
        <v>73</v>
      </c>
      <c r="F58" s="26">
        <v>620</v>
      </c>
      <c r="G58" s="29">
        <v>4.8</v>
      </c>
      <c r="H58" s="29">
        <v>3.2</v>
      </c>
      <c r="I58" s="10" t="s">
        <v>107</v>
      </c>
      <c r="J58" s="10" t="str">
        <f>VLOOKUP(D58,Productos!$A$4:$D$8,2,FALSE)</f>
        <v>Miel natural</v>
      </c>
      <c r="K58" s="10" t="str">
        <f>VLOOKUP(D58,Productos!$A$4:$D$8,3,FALSE)</f>
        <v>Apícola</v>
      </c>
      <c r="L58" s="10" t="str">
        <f>VLOOKUP(E58,Mercados!$A$4:$D$9,2,FALSE)</f>
        <v>Norteamérica</v>
      </c>
      <c r="M58" s="16">
        <f>VLOOKUP(E58,Mercados!$A$4:$D$9,3,FALSE)</f>
        <v>0.08</v>
      </c>
      <c r="N58" s="10" t="str">
        <f>VLOOKUP(E58,Mercados!$A$4:$D$9,4,FALSE)</f>
        <v>Potencial</v>
      </c>
      <c r="O58" s="29">
        <f t="shared" si="7"/>
        <v>2976</v>
      </c>
      <c r="P58" s="29">
        <f t="shared" si="8"/>
        <v>1984</v>
      </c>
      <c r="Q58" s="29">
        <f t="shared" si="9"/>
        <v>992</v>
      </c>
      <c r="R58" s="16">
        <f t="shared" si="10"/>
        <v>0.33333333333333331</v>
      </c>
      <c r="S58" s="10" t="str">
        <f t="shared" si="11"/>
        <v>Alta</v>
      </c>
      <c r="T58" s="10" t="str">
        <f t="shared" si="12"/>
        <v>Pequeña</v>
      </c>
      <c r="U58" s="11" t="str">
        <f t="shared" si="13"/>
        <v>Media</v>
      </c>
    </row>
    <row r="59" spans="1:21">
      <c r="A59" s="9" t="s">
        <v>172</v>
      </c>
      <c r="B59" s="23">
        <v>46118</v>
      </c>
      <c r="C59" s="10" t="s">
        <v>109</v>
      </c>
      <c r="D59" s="10" t="s">
        <v>121</v>
      </c>
      <c r="E59" s="10" t="s">
        <v>65</v>
      </c>
      <c r="F59" s="26">
        <v>820</v>
      </c>
      <c r="G59" s="29">
        <v>12.5</v>
      </c>
      <c r="H59" s="29">
        <v>8.6999999999999993</v>
      </c>
      <c r="I59" s="10" t="s">
        <v>111</v>
      </c>
      <c r="J59" s="10" t="str">
        <f>VLOOKUP(D59,Productos!$A$4:$D$8,2,FALSE)</f>
        <v>Aceite de ajonjolí</v>
      </c>
      <c r="K59" s="10" t="str">
        <f>VLOOKUP(D59,Productos!$A$4:$D$8,3,FALSE)</f>
        <v>Aceites</v>
      </c>
      <c r="L59" s="10" t="str">
        <f>VLOOKUP(E59,Mercados!$A$4:$D$9,2,FALSE)</f>
        <v>Norteamérica</v>
      </c>
      <c r="M59" s="16">
        <f>VLOOKUP(E59,Mercados!$A$4:$D$9,3,FALSE)</f>
        <v>0.05</v>
      </c>
      <c r="N59" s="10" t="str">
        <f>VLOOKUP(E59,Mercados!$A$4:$D$9,4,FALSE)</f>
        <v>Estratégico</v>
      </c>
      <c r="O59" s="29">
        <f t="shared" si="7"/>
        <v>10250</v>
      </c>
      <c r="P59" s="29">
        <f t="shared" si="8"/>
        <v>7133.9999999999991</v>
      </c>
      <c r="Q59" s="29">
        <f t="shared" si="9"/>
        <v>3116.0000000000009</v>
      </c>
      <c r="R59" s="16">
        <f t="shared" si="10"/>
        <v>0.3040000000000001</v>
      </c>
      <c r="S59" s="10" t="str">
        <f t="shared" si="11"/>
        <v>Alta</v>
      </c>
      <c r="T59" s="10" t="str">
        <f t="shared" si="12"/>
        <v>Grande</v>
      </c>
      <c r="U59" s="11" t="str">
        <f t="shared" si="13"/>
        <v>Alta</v>
      </c>
    </row>
    <row r="60" spans="1:21">
      <c r="A60" s="9" t="s">
        <v>173</v>
      </c>
      <c r="B60" s="23">
        <v>46127</v>
      </c>
      <c r="C60" s="10" t="s">
        <v>105</v>
      </c>
      <c r="D60" s="10" t="s">
        <v>110</v>
      </c>
      <c r="E60" s="10" t="s">
        <v>77</v>
      </c>
      <c r="F60" s="26">
        <v>1250</v>
      </c>
      <c r="G60" s="29">
        <v>6.5</v>
      </c>
      <c r="H60" s="29">
        <v>4.0999999999999996</v>
      </c>
      <c r="I60" s="10" t="s">
        <v>111</v>
      </c>
      <c r="J60" s="10" t="str">
        <f>VLOOKUP(D60,Productos!$A$4:$D$8,2,FALSE)</f>
        <v>Café especial</v>
      </c>
      <c r="K60" s="10" t="str">
        <f>VLOOKUP(D60,Productos!$A$4:$D$8,3,FALSE)</f>
        <v>Café</v>
      </c>
      <c r="L60" s="10" t="str">
        <f>VLOOKUP(E60,Mercados!$A$4:$D$9,2,FALSE)</f>
        <v>Centroamérica</v>
      </c>
      <c r="M60" s="16">
        <f>VLOOKUP(E60,Mercados!$A$4:$D$9,3,FALSE)</f>
        <v>0.03</v>
      </c>
      <c r="N60" s="10" t="str">
        <f>VLOOKUP(E60,Mercados!$A$4:$D$9,4,FALSE)</f>
        <v>Estratégico</v>
      </c>
      <c r="O60" s="29">
        <f t="shared" si="7"/>
        <v>8125</v>
      </c>
      <c r="P60" s="29">
        <f t="shared" si="8"/>
        <v>5125</v>
      </c>
      <c r="Q60" s="29">
        <f t="shared" si="9"/>
        <v>3000</v>
      </c>
      <c r="R60" s="16">
        <f t="shared" si="10"/>
        <v>0.36923076923076925</v>
      </c>
      <c r="S60" s="10" t="str">
        <f t="shared" si="11"/>
        <v>Alta</v>
      </c>
      <c r="T60" s="10" t="str">
        <f t="shared" si="12"/>
        <v>Mediana</v>
      </c>
      <c r="U60" s="11" t="str">
        <f t="shared" si="13"/>
        <v>Alta</v>
      </c>
    </row>
    <row r="61" spans="1:21">
      <c r="A61" s="9" t="s">
        <v>174</v>
      </c>
      <c r="B61" s="23">
        <v>46136</v>
      </c>
      <c r="C61" s="10" t="s">
        <v>113</v>
      </c>
      <c r="D61" s="10" t="s">
        <v>117</v>
      </c>
      <c r="E61" s="10" t="s">
        <v>79</v>
      </c>
      <c r="F61" s="26">
        <v>790</v>
      </c>
      <c r="G61" s="29">
        <v>7.1</v>
      </c>
      <c r="H61" s="29">
        <v>4.8</v>
      </c>
      <c r="I61" s="10" t="s">
        <v>107</v>
      </c>
      <c r="J61" s="10" t="str">
        <f>VLOOKUP(D61,Productos!$A$4:$D$8,2,FALSE)</f>
        <v>Cacao en grano</v>
      </c>
      <c r="K61" s="10" t="str">
        <f>VLOOKUP(D61,Productos!$A$4:$D$8,3,FALSE)</f>
        <v>Cacao</v>
      </c>
      <c r="L61" s="10" t="str">
        <f>VLOOKUP(E61,Mercados!$A$4:$D$9,2,FALSE)</f>
        <v>Centroamérica</v>
      </c>
      <c r="M61" s="16">
        <f>VLOOKUP(E61,Mercados!$A$4:$D$9,3,FALSE)</f>
        <v>0.02</v>
      </c>
      <c r="N61" s="10" t="str">
        <f>VLOOKUP(E61,Mercados!$A$4:$D$9,4,FALSE)</f>
        <v>Estratégico</v>
      </c>
      <c r="O61" s="29">
        <f t="shared" si="7"/>
        <v>5609</v>
      </c>
      <c r="P61" s="29">
        <f t="shared" si="8"/>
        <v>3792</v>
      </c>
      <c r="Q61" s="29">
        <f t="shared" si="9"/>
        <v>1817</v>
      </c>
      <c r="R61" s="16">
        <f t="shared" si="10"/>
        <v>0.323943661971831</v>
      </c>
      <c r="S61" s="10" t="str">
        <f t="shared" si="11"/>
        <v>Alta</v>
      </c>
      <c r="T61" s="10" t="str">
        <f t="shared" si="12"/>
        <v>Mediana</v>
      </c>
      <c r="U61" s="11" t="str">
        <f t="shared" si="13"/>
        <v>Alta</v>
      </c>
    </row>
    <row r="62" spans="1:21">
      <c r="A62" s="9" t="s">
        <v>175</v>
      </c>
      <c r="B62" s="23">
        <v>46145</v>
      </c>
      <c r="C62" s="10" t="s">
        <v>116</v>
      </c>
      <c r="D62" s="10" t="s">
        <v>106</v>
      </c>
      <c r="E62" s="10" t="s">
        <v>69</v>
      </c>
      <c r="F62" s="26">
        <v>980</v>
      </c>
      <c r="G62" s="29">
        <v>4.8</v>
      </c>
      <c r="H62" s="29">
        <v>3.2</v>
      </c>
      <c r="I62" s="10" t="s">
        <v>118</v>
      </c>
      <c r="J62" s="10" t="str">
        <f>VLOOKUP(D62,Productos!$A$4:$D$8,2,FALSE)</f>
        <v>Miel natural</v>
      </c>
      <c r="K62" s="10" t="str">
        <f>VLOOKUP(D62,Productos!$A$4:$D$8,3,FALSE)</f>
        <v>Apícola</v>
      </c>
      <c r="L62" s="10" t="str">
        <f>VLOOKUP(E62,Mercados!$A$4:$D$9,2,FALSE)</f>
        <v>Europa</v>
      </c>
      <c r="M62" s="16">
        <f>VLOOKUP(E62,Mercados!$A$4:$D$9,3,FALSE)</f>
        <v>0.1</v>
      </c>
      <c r="N62" s="10" t="str">
        <f>VLOOKUP(E62,Mercados!$A$4:$D$9,4,FALSE)</f>
        <v>Potencial</v>
      </c>
      <c r="O62" s="29">
        <f t="shared" si="7"/>
        <v>4704</v>
      </c>
      <c r="P62" s="29">
        <f t="shared" si="8"/>
        <v>3136</v>
      </c>
      <c r="Q62" s="29">
        <f t="shared" si="9"/>
        <v>1568</v>
      </c>
      <c r="R62" s="16">
        <f t="shared" si="10"/>
        <v>0.33333333333333331</v>
      </c>
      <c r="S62" s="10" t="str">
        <f t="shared" si="11"/>
        <v>Alta</v>
      </c>
      <c r="T62" s="10" t="str">
        <f t="shared" si="12"/>
        <v>Pequeña</v>
      </c>
      <c r="U62" s="11" t="str">
        <f t="shared" si="13"/>
        <v>Media</v>
      </c>
    </row>
    <row r="63" spans="1:21">
      <c r="A63" s="9" t="s">
        <v>176</v>
      </c>
      <c r="B63" s="23">
        <v>46154</v>
      </c>
      <c r="C63" s="10" t="s">
        <v>120</v>
      </c>
      <c r="D63" s="10" t="s">
        <v>114</v>
      </c>
      <c r="E63" s="10" t="s">
        <v>73</v>
      </c>
      <c r="F63" s="26">
        <v>730</v>
      </c>
      <c r="G63" s="29">
        <v>8.1999999999999993</v>
      </c>
      <c r="H63" s="29">
        <v>5.9</v>
      </c>
      <c r="I63" s="10" t="s">
        <v>111</v>
      </c>
      <c r="J63" s="10" t="str">
        <f>VLOOKUP(D63,Productos!$A$4:$D$8,2,FALSE)</f>
        <v>Maní procesado</v>
      </c>
      <c r="K63" s="10" t="str">
        <f>VLOOKUP(D63,Productos!$A$4:$D$8,3,FALSE)</f>
        <v>Semillas</v>
      </c>
      <c r="L63" s="10" t="str">
        <f>VLOOKUP(E63,Mercados!$A$4:$D$9,2,FALSE)</f>
        <v>Norteamérica</v>
      </c>
      <c r="M63" s="16">
        <f>VLOOKUP(E63,Mercados!$A$4:$D$9,3,FALSE)</f>
        <v>0.08</v>
      </c>
      <c r="N63" s="10" t="str">
        <f>VLOOKUP(E63,Mercados!$A$4:$D$9,4,FALSE)</f>
        <v>Potencial</v>
      </c>
      <c r="O63" s="29">
        <f t="shared" si="7"/>
        <v>5985.9999999999991</v>
      </c>
      <c r="P63" s="29">
        <f t="shared" si="8"/>
        <v>4307</v>
      </c>
      <c r="Q63" s="29">
        <f t="shared" si="9"/>
        <v>1678.9999999999991</v>
      </c>
      <c r="R63" s="16">
        <f t="shared" si="10"/>
        <v>0.2804878048780487</v>
      </c>
      <c r="S63" s="10" t="str">
        <f t="shared" si="11"/>
        <v>Media</v>
      </c>
      <c r="T63" s="10" t="str">
        <f t="shared" si="12"/>
        <v>Mediana</v>
      </c>
      <c r="U63" s="11" t="str">
        <f t="shared" si="13"/>
        <v>Baja</v>
      </c>
    </row>
    <row r="64" spans="1:21">
      <c r="A64" s="9" t="s">
        <v>177</v>
      </c>
      <c r="B64" s="23">
        <v>46163</v>
      </c>
      <c r="C64" s="10" t="s">
        <v>109</v>
      </c>
      <c r="D64" s="10" t="s">
        <v>110</v>
      </c>
      <c r="E64" s="10" t="s">
        <v>65</v>
      </c>
      <c r="F64" s="26">
        <v>1320</v>
      </c>
      <c r="G64" s="29">
        <v>6.5</v>
      </c>
      <c r="H64" s="29">
        <v>4.0999999999999996</v>
      </c>
      <c r="I64" s="10" t="s">
        <v>107</v>
      </c>
      <c r="J64" s="10" t="str">
        <f>VLOOKUP(D64,Productos!$A$4:$D$8,2,FALSE)</f>
        <v>Café especial</v>
      </c>
      <c r="K64" s="10" t="str">
        <f>VLOOKUP(D64,Productos!$A$4:$D$8,3,FALSE)</f>
        <v>Café</v>
      </c>
      <c r="L64" s="10" t="str">
        <f>VLOOKUP(E64,Mercados!$A$4:$D$9,2,FALSE)</f>
        <v>Norteamérica</v>
      </c>
      <c r="M64" s="16">
        <f>VLOOKUP(E64,Mercados!$A$4:$D$9,3,FALSE)</f>
        <v>0.05</v>
      </c>
      <c r="N64" s="10" t="str">
        <f>VLOOKUP(E64,Mercados!$A$4:$D$9,4,FALSE)</f>
        <v>Estratégico</v>
      </c>
      <c r="O64" s="29">
        <f t="shared" si="7"/>
        <v>8580</v>
      </c>
      <c r="P64" s="29">
        <f t="shared" si="8"/>
        <v>5411.9999999999991</v>
      </c>
      <c r="Q64" s="29">
        <f t="shared" si="9"/>
        <v>3168.0000000000009</v>
      </c>
      <c r="R64" s="16">
        <f t="shared" si="10"/>
        <v>0.36923076923076936</v>
      </c>
      <c r="S64" s="10" t="str">
        <f t="shared" si="11"/>
        <v>Alta</v>
      </c>
      <c r="T64" s="10" t="str">
        <f t="shared" si="12"/>
        <v>Mediana</v>
      </c>
      <c r="U64" s="11" t="str">
        <f t="shared" si="13"/>
        <v>Alta</v>
      </c>
    </row>
    <row r="65" spans="1:21">
      <c r="A65" s="9" t="s">
        <v>178</v>
      </c>
      <c r="B65" s="23">
        <v>46172</v>
      </c>
      <c r="C65" s="10" t="s">
        <v>105</v>
      </c>
      <c r="D65" s="10" t="s">
        <v>121</v>
      </c>
      <c r="E65" s="10" t="s">
        <v>77</v>
      </c>
      <c r="F65" s="26">
        <v>470</v>
      </c>
      <c r="G65" s="29">
        <v>12.5</v>
      </c>
      <c r="H65" s="29">
        <v>8.6999999999999993</v>
      </c>
      <c r="I65" s="10" t="s">
        <v>111</v>
      </c>
      <c r="J65" s="10" t="str">
        <f>VLOOKUP(D65,Productos!$A$4:$D$8,2,FALSE)</f>
        <v>Aceite de ajonjolí</v>
      </c>
      <c r="K65" s="10" t="str">
        <f>VLOOKUP(D65,Productos!$A$4:$D$8,3,FALSE)</f>
        <v>Aceites</v>
      </c>
      <c r="L65" s="10" t="str">
        <f>VLOOKUP(E65,Mercados!$A$4:$D$9,2,FALSE)</f>
        <v>Centroamérica</v>
      </c>
      <c r="M65" s="16">
        <f>VLOOKUP(E65,Mercados!$A$4:$D$9,3,FALSE)</f>
        <v>0.03</v>
      </c>
      <c r="N65" s="10" t="str">
        <f>VLOOKUP(E65,Mercados!$A$4:$D$9,4,FALSE)</f>
        <v>Estratégico</v>
      </c>
      <c r="O65" s="29">
        <f t="shared" si="7"/>
        <v>5875</v>
      </c>
      <c r="P65" s="29">
        <f t="shared" si="8"/>
        <v>4088.9999999999995</v>
      </c>
      <c r="Q65" s="29">
        <f t="shared" si="9"/>
        <v>1786.0000000000005</v>
      </c>
      <c r="R65" s="16">
        <f t="shared" si="10"/>
        <v>0.3040000000000001</v>
      </c>
      <c r="S65" s="10" t="str">
        <f t="shared" si="11"/>
        <v>Alta</v>
      </c>
      <c r="T65" s="10" t="str">
        <f t="shared" si="12"/>
        <v>Mediana</v>
      </c>
      <c r="U65" s="11" t="str">
        <f t="shared" si="13"/>
        <v>Alta</v>
      </c>
    </row>
    <row r="66" spans="1:21">
      <c r="A66" s="9" t="s">
        <v>179</v>
      </c>
      <c r="B66" s="23">
        <v>46181</v>
      </c>
      <c r="C66" s="10" t="s">
        <v>113</v>
      </c>
      <c r="D66" s="10" t="s">
        <v>106</v>
      </c>
      <c r="E66" s="10" t="s">
        <v>79</v>
      </c>
      <c r="F66" s="26">
        <v>860</v>
      </c>
      <c r="G66" s="29">
        <v>4.8</v>
      </c>
      <c r="H66" s="29">
        <v>3.2</v>
      </c>
      <c r="I66" s="10" t="s">
        <v>111</v>
      </c>
      <c r="J66" s="10" t="str">
        <f>VLOOKUP(D66,Productos!$A$4:$D$8,2,FALSE)</f>
        <v>Miel natural</v>
      </c>
      <c r="K66" s="10" t="str">
        <f>VLOOKUP(D66,Productos!$A$4:$D$8,3,FALSE)</f>
        <v>Apícola</v>
      </c>
      <c r="L66" s="10" t="str">
        <f>VLOOKUP(E66,Mercados!$A$4:$D$9,2,FALSE)</f>
        <v>Centroamérica</v>
      </c>
      <c r="M66" s="16">
        <f>VLOOKUP(E66,Mercados!$A$4:$D$9,3,FALSE)</f>
        <v>0.02</v>
      </c>
      <c r="N66" s="10" t="str">
        <f>VLOOKUP(E66,Mercados!$A$4:$D$9,4,FALSE)</f>
        <v>Estratégico</v>
      </c>
      <c r="O66" s="29">
        <f t="shared" si="7"/>
        <v>4128</v>
      </c>
      <c r="P66" s="29">
        <f t="shared" si="8"/>
        <v>2752</v>
      </c>
      <c r="Q66" s="29">
        <f t="shared" si="9"/>
        <v>1376</v>
      </c>
      <c r="R66" s="16">
        <f t="shared" si="10"/>
        <v>0.33333333333333331</v>
      </c>
      <c r="S66" s="10" t="str">
        <f t="shared" si="11"/>
        <v>Alta</v>
      </c>
      <c r="T66" s="10" t="str">
        <f t="shared" si="12"/>
        <v>Pequeña</v>
      </c>
      <c r="U66" s="11" t="str">
        <f t="shared" si="13"/>
        <v>Alta</v>
      </c>
    </row>
    <row r="67" spans="1:21">
      <c r="A67" s="9" t="s">
        <v>180</v>
      </c>
      <c r="B67" s="23">
        <v>46190</v>
      </c>
      <c r="C67" s="10" t="s">
        <v>116</v>
      </c>
      <c r="D67" s="10" t="s">
        <v>117</v>
      </c>
      <c r="E67" s="10" t="s">
        <v>69</v>
      </c>
      <c r="F67" s="26">
        <v>1040</v>
      </c>
      <c r="G67" s="29">
        <v>7.1</v>
      </c>
      <c r="H67" s="29">
        <v>4.8</v>
      </c>
      <c r="I67" s="10" t="s">
        <v>107</v>
      </c>
      <c r="J67" s="10" t="str">
        <f>VLOOKUP(D67,Productos!$A$4:$D$8,2,FALSE)</f>
        <v>Cacao en grano</v>
      </c>
      <c r="K67" s="10" t="str">
        <f>VLOOKUP(D67,Productos!$A$4:$D$8,3,FALSE)</f>
        <v>Cacao</v>
      </c>
      <c r="L67" s="10" t="str">
        <f>VLOOKUP(E67,Mercados!$A$4:$D$9,2,FALSE)</f>
        <v>Europa</v>
      </c>
      <c r="M67" s="16">
        <f>VLOOKUP(E67,Mercados!$A$4:$D$9,3,FALSE)</f>
        <v>0.1</v>
      </c>
      <c r="N67" s="10" t="str">
        <f>VLOOKUP(E67,Mercados!$A$4:$D$9,4,FALSE)</f>
        <v>Potencial</v>
      </c>
      <c r="O67" s="29">
        <f t="shared" si="7"/>
        <v>7384</v>
      </c>
      <c r="P67" s="29">
        <f t="shared" si="8"/>
        <v>4992</v>
      </c>
      <c r="Q67" s="29">
        <f t="shared" si="9"/>
        <v>2392</v>
      </c>
      <c r="R67" s="16">
        <f t="shared" si="10"/>
        <v>0.323943661971831</v>
      </c>
      <c r="S67" s="10" t="str">
        <f t="shared" si="11"/>
        <v>Alta</v>
      </c>
      <c r="T67" s="10" t="str">
        <f t="shared" si="12"/>
        <v>Mediana</v>
      </c>
      <c r="U67" s="11" t="str">
        <f t="shared" si="13"/>
        <v>Media</v>
      </c>
    </row>
    <row r="68" spans="1:21">
      <c r="A68" s="9" t="s">
        <v>181</v>
      </c>
      <c r="B68" s="23">
        <v>46199</v>
      </c>
      <c r="C68" s="10" t="s">
        <v>120</v>
      </c>
      <c r="D68" s="10" t="s">
        <v>110</v>
      </c>
      <c r="E68" s="10" t="s">
        <v>73</v>
      </c>
      <c r="F68" s="26">
        <v>890</v>
      </c>
      <c r="G68" s="29">
        <v>6.5</v>
      </c>
      <c r="H68" s="29">
        <v>4.0999999999999996</v>
      </c>
      <c r="I68" s="10" t="s">
        <v>118</v>
      </c>
      <c r="J68" s="10" t="str">
        <f>VLOOKUP(D68,Productos!$A$4:$D$8,2,FALSE)</f>
        <v>Café especial</v>
      </c>
      <c r="K68" s="10" t="str">
        <f>VLOOKUP(D68,Productos!$A$4:$D$8,3,FALSE)</f>
        <v>Café</v>
      </c>
      <c r="L68" s="10" t="str">
        <f>VLOOKUP(E68,Mercados!$A$4:$D$9,2,FALSE)</f>
        <v>Norteamérica</v>
      </c>
      <c r="M68" s="16">
        <f>VLOOKUP(E68,Mercados!$A$4:$D$9,3,FALSE)</f>
        <v>0.08</v>
      </c>
      <c r="N68" s="10" t="str">
        <f>VLOOKUP(E68,Mercados!$A$4:$D$9,4,FALSE)</f>
        <v>Potencial</v>
      </c>
      <c r="O68" s="29">
        <f t="shared" ref="O68:O103" si="14">F68*G68</f>
        <v>5785</v>
      </c>
      <c r="P68" s="29">
        <f t="shared" ref="P68:P103" si="15">F68*H68</f>
        <v>3648.9999999999995</v>
      </c>
      <c r="Q68" s="29">
        <f t="shared" ref="Q68:Q99" si="16">O68-P68</f>
        <v>2136.0000000000005</v>
      </c>
      <c r="R68" s="16">
        <f t="shared" ref="R68:R99" si="17">Q68/O68</f>
        <v>0.36923076923076931</v>
      </c>
      <c r="S68" s="10" t="str">
        <f t="shared" ref="S68:S99" si="18">IF(R68&gt;=30%,"Alta",IF(R68&gt;=15%,"Media","Baja"))</f>
        <v>Alta</v>
      </c>
      <c r="T68" s="10" t="str">
        <f t="shared" ref="T68:T103" si="19">IF(O68&gt;=10000,"Grande",IF(O68&gt;=5000,"Mediana","Pequeña"))</f>
        <v>Mediana</v>
      </c>
      <c r="U68" s="11" t="str">
        <f t="shared" ref="U68:U103" si="20">IF(AND(N68="Estratégico",R68&gt;=30%),"Alta",IF(AND(N68="Estratégico",R68&lt;30%),"Media",IF(AND(N68="Potencial",R68&gt;=30%),"Media","Baja")))</f>
        <v>Media</v>
      </c>
    </row>
    <row r="69" spans="1:21">
      <c r="A69" s="9" t="s">
        <v>182</v>
      </c>
      <c r="B69" s="23">
        <v>46208</v>
      </c>
      <c r="C69" s="10" t="s">
        <v>109</v>
      </c>
      <c r="D69" s="10" t="s">
        <v>114</v>
      </c>
      <c r="E69" s="10" t="s">
        <v>65</v>
      </c>
      <c r="F69" s="26">
        <v>1170</v>
      </c>
      <c r="G69" s="29">
        <v>8.1999999999999993</v>
      </c>
      <c r="H69" s="29">
        <v>5.9</v>
      </c>
      <c r="I69" s="10" t="s">
        <v>111</v>
      </c>
      <c r="J69" s="10" t="str">
        <f>VLOOKUP(D69,Productos!$A$4:$D$8,2,FALSE)</f>
        <v>Maní procesado</v>
      </c>
      <c r="K69" s="10" t="str">
        <f>VLOOKUP(D69,Productos!$A$4:$D$8,3,FALSE)</f>
        <v>Semillas</v>
      </c>
      <c r="L69" s="10" t="str">
        <f>VLOOKUP(E69,Mercados!$A$4:$D$9,2,FALSE)</f>
        <v>Norteamérica</v>
      </c>
      <c r="M69" s="16">
        <f>VLOOKUP(E69,Mercados!$A$4:$D$9,3,FALSE)</f>
        <v>0.05</v>
      </c>
      <c r="N69" s="10" t="str">
        <f>VLOOKUP(E69,Mercados!$A$4:$D$9,4,FALSE)</f>
        <v>Estratégico</v>
      </c>
      <c r="O69" s="29">
        <f t="shared" si="14"/>
        <v>9594</v>
      </c>
      <c r="P69" s="29">
        <f t="shared" si="15"/>
        <v>6903</v>
      </c>
      <c r="Q69" s="29">
        <f t="shared" si="16"/>
        <v>2691</v>
      </c>
      <c r="R69" s="16">
        <f t="shared" si="17"/>
        <v>0.28048780487804881</v>
      </c>
      <c r="S69" s="10" t="str">
        <f t="shared" si="18"/>
        <v>Media</v>
      </c>
      <c r="T69" s="10" t="str">
        <f t="shared" si="19"/>
        <v>Mediana</v>
      </c>
      <c r="U69" s="11" t="str">
        <f t="shared" si="20"/>
        <v>Media</v>
      </c>
    </row>
    <row r="70" spans="1:21">
      <c r="A70" s="9" t="s">
        <v>183</v>
      </c>
      <c r="B70" s="23">
        <v>46217</v>
      </c>
      <c r="C70" s="10" t="s">
        <v>105</v>
      </c>
      <c r="D70" s="10" t="s">
        <v>106</v>
      </c>
      <c r="E70" s="10" t="s">
        <v>77</v>
      </c>
      <c r="F70" s="26">
        <v>760</v>
      </c>
      <c r="G70" s="29">
        <v>4.8</v>
      </c>
      <c r="H70" s="29">
        <v>3.2</v>
      </c>
      <c r="I70" s="10" t="s">
        <v>107</v>
      </c>
      <c r="J70" s="10" t="str">
        <f>VLOOKUP(D70,Productos!$A$4:$D$8,2,FALSE)</f>
        <v>Miel natural</v>
      </c>
      <c r="K70" s="10" t="str">
        <f>VLOOKUP(D70,Productos!$A$4:$D$8,3,FALSE)</f>
        <v>Apícola</v>
      </c>
      <c r="L70" s="10" t="str">
        <f>VLOOKUP(E70,Mercados!$A$4:$D$9,2,FALSE)</f>
        <v>Centroamérica</v>
      </c>
      <c r="M70" s="16">
        <f>VLOOKUP(E70,Mercados!$A$4:$D$9,3,FALSE)</f>
        <v>0.03</v>
      </c>
      <c r="N70" s="10" t="str">
        <f>VLOOKUP(E70,Mercados!$A$4:$D$9,4,FALSE)</f>
        <v>Estratégico</v>
      </c>
      <c r="O70" s="29">
        <f t="shared" si="14"/>
        <v>3648</v>
      </c>
      <c r="P70" s="29">
        <f t="shared" si="15"/>
        <v>2432</v>
      </c>
      <c r="Q70" s="29">
        <f t="shared" si="16"/>
        <v>1216</v>
      </c>
      <c r="R70" s="16">
        <f t="shared" si="17"/>
        <v>0.33333333333333331</v>
      </c>
      <c r="S70" s="10" t="str">
        <f t="shared" si="18"/>
        <v>Alta</v>
      </c>
      <c r="T70" s="10" t="str">
        <f t="shared" si="19"/>
        <v>Pequeña</v>
      </c>
      <c r="U70" s="11" t="str">
        <f t="shared" si="20"/>
        <v>Alta</v>
      </c>
    </row>
    <row r="71" spans="1:21">
      <c r="A71" s="9" t="s">
        <v>184</v>
      </c>
      <c r="B71" s="23">
        <v>46226</v>
      </c>
      <c r="C71" s="10" t="s">
        <v>113</v>
      </c>
      <c r="D71" s="10" t="s">
        <v>121</v>
      </c>
      <c r="E71" s="10" t="s">
        <v>79</v>
      </c>
      <c r="F71" s="26">
        <v>540</v>
      </c>
      <c r="G71" s="29">
        <v>12.5</v>
      </c>
      <c r="H71" s="29">
        <v>8.6999999999999993</v>
      </c>
      <c r="I71" s="10" t="s">
        <v>111</v>
      </c>
      <c r="J71" s="10" t="str">
        <f>VLOOKUP(D71,Productos!$A$4:$D$8,2,FALSE)</f>
        <v>Aceite de ajonjolí</v>
      </c>
      <c r="K71" s="10" t="str">
        <f>VLOOKUP(D71,Productos!$A$4:$D$8,3,FALSE)</f>
        <v>Aceites</v>
      </c>
      <c r="L71" s="10" t="str">
        <f>VLOOKUP(E71,Mercados!$A$4:$D$9,2,FALSE)</f>
        <v>Centroamérica</v>
      </c>
      <c r="M71" s="16">
        <f>VLOOKUP(E71,Mercados!$A$4:$D$9,3,FALSE)</f>
        <v>0.02</v>
      </c>
      <c r="N71" s="10" t="str">
        <f>VLOOKUP(E71,Mercados!$A$4:$D$9,4,FALSE)</f>
        <v>Estratégico</v>
      </c>
      <c r="O71" s="29">
        <f t="shared" si="14"/>
        <v>6750</v>
      </c>
      <c r="P71" s="29">
        <f t="shared" si="15"/>
        <v>4698</v>
      </c>
      <c r="Q71" s="29">
        <f t="shared" si="16"/>
        <v>2052</v>
      </c>
      <c r="R71" s="16">
        <f t="shared" si="17"/>
        <v>0.30399999999999999</v>
      </c>
      <c r="S71" s="10" t="str">
        <f t="shared" si="18"/>
        <v>Alta</v>
      </c>
      <c r="T71" s="10" t="str">
        <f t="shared" si="19"/>
        <v>Mediana</v>
      </c>
      <c r="U71" s="11" t="str">
        <f t="shared" si="20"/>
        <v>Alta</v>
      </c>
    </row>
    <row r="72" spans="1:21">
      <c r="A72" s="9" t="s">
        <v>185</v>
      </c>
      <c r="B72" s="23">
        <v>46235</v>
      </c>
      <c r="C72" s="10" t="s">
        <v>116</v>
      </c>
      <c r="D72" s="10" t="s">
        <v>110</v>
      </c>
      <c r="E72" s="10" t="s">
        <v>69</v>
      </c>
      <c r="F72" s="26">
        <v>1280</v>
      </c>
      <c r="G72" s="29">
        <v>6.5</v>
      </c>
      <c r="H72" s="29">
        <v>4.0999999999999996</v>
      </c>
      <c r="I72" s="10" t="s">
        <v>107</v>
      </c>
      <c r="J72" s="10" t="str">
        <f>VLOOKUP(D72,Productos!$A$4:$D$8,2,FALSE)</f>
        <v>Café especial</v>
      </c>
      <c r="K72" s="10" t="str">
        <f>VLOOKUP(D72,Productos!$A$4:$D$8,3,FALSE)</f>
        <v>Café</v>
      </c>
      <c r="L72" s="10" t="str">
        <f>VLOOKUP(E72,Mercados!$A$4:$D$9,2,FALSE)</f>
        <v>Europa</v>
      </c>
      <c r="M72" s="16">
        <f>VLOOKUP(E72,Mercados!$A$4:$D$9,3,FALSE)</f>
        <v>0.1</v>
      </c>
      <c r="N72" s="10" t="str">
        <f>VLOOKUP(E72,Mercados!$A$4:$D$9,4,FALSE)</f>
        <v>Potencial</v>
      </c>
      <c r="O72" s="29">
        <f t="shared" si="14"/>
        <v>8320</v>
      </c>
      <c r="P72" s="29">
        <f t="shared" si="15"/>
        <v>5248</v>
      </c>
      <c r="Q72" s="29">
        <f t="shared" si="16"/>
        <v>3072</v>
      </c>
      <c r="R72" s="16">
        <f t="shared" si="17"/>
        <v>0.36923076923076925</v>
      </c>
      <c r="S72" s="10" t="str">
        <f t="shared" si="18"/>
        <v>Alta</v>
      </c>
      <c r="T72" s="10" t="str">
        <f t="shared" si="19"/>
        <v>Mediana</v>
      </c>
      <c r="U72" s="11" t="str">
        <f t="shared" si="20"/>
        <v>Media</v>
      </c>
    </row>
    <row r="73" spans="1:21">
      <c r="A73" s="9" t="s">
        <v>186</v>
      </c>
      <c r="B73" s="23">
        <v>46244</v>
      </c>
      <c r="C73" s="10" t="s">
        <v>120</v>
      </c>
      <c r="D73" s="10" t="s">
        <v>117</v>
      </c>
      <c r="E73" s="10" t="s">
        <v>73</v>
      </c>
      <c r="F73" s="26">
        <v>930</v>
      </c>
      <c r="G73" s="29">
        <v>7.1</v>
      </c>
      <c r="H73" s="29">
        <v>4.8</v>
      </c>
      <c r="I73" s="10" t="s">
        <v>111</v>
      </c>
      <c r="J73" s="10" t="str">
        <f>VLOOKUP(D73,Productos!$A$4:$D$8,2,FALSE)</f>
        <v>Cacao en grano</v>
      </c>
      <c r="K73" s="10" t="str">
        <f>VLOOKUP(D73,Productos!$A$4:$D$8,3,FALSE)</f>
        <v>Cacao</v>
      </c>
      <c r="L73" s="10" t="str">
        <f>VLOOKUP(E73,Mercados!$A$4:$D$9,2,FALSE)</f>
        <v>Norteamérica</v>
      </c>
      <c r="M73" s="16">
        <f>VLOOKUP(E73,Mercados!$A$4:$D$9,3,FALSE)</f>
        <v>0.08</v>
      </c>
      <c r="N73" s="10" t="str">
        <f>VLOOKUP(E73,Mercados!$A$4:$D$9,4,FALSE)</f>
        <v>Potencial</v>
      </c>
      <c r="O73" s="29">
        <f t="shared" si="14"/>
        <v>6603</v>
      </c>
      <c r="P73" s="29">
        <f t="shared" si="15"/>
        <v>4464</v>
      </c>
      <c r="Q73" s="29">
        <f t="shared" si="16"/>
        <v>2139</v>
      </c>
      <c r="R73" s="16">
        <f t="shared" si="17"/>
        <v>0.323943661971831</v>
      </c>
      <c r="S73" s="10" t="str">
        <f t="shared" si="18"/>
        <v>Alta</v>
      </c>
      <c r="T73" s="10" t="str">
        <f t="shared" si="19"/>
        <v>Mediana</v>
      </c>
      <c r="U73" s="11" t="str">
        <f t="shared" si="20"/>
        <v>Media</v>
      </c>
    </row>
    <row r="74" spans="1:21">
      <c r="A74" s="9" t="s">
        <v>187</v>
      </c>
      <c r="B74" s="23">
        <v>46253</v>
      </c>
      <c r="C74" s="10" t="s">
        <v>109</v>
      </c>
      <c r="D74" s="10" t="s">
        <v>106</v>
      </c>
      <c r="E74" s="10" t="s">
        <v>65</v>
      </c>
      <c r="F74" s="26">
        <v>1550</v>
      </c>
      <c r="G74" s="29">
        <v>4.8</v>
      </c>
      <c r="H74" s="29">
        <v>3.2</v>
      </c>
      <c r="I74" s="10" t="s">
        <v>111</v>
      </c>
      <c r="J74" s="10" t="str">
        <f>VLOOKUP(D74,Productos!$A$4:$D$8,2,FALSE)</f>
        <v>Miel natural</v>
      </c>
      <c r="K74" s="10" t="str">
        <f>VLOOKUP(D74,Productos!$A$4:$D$8,3,FALSE)</f>
        <v>Apícola</v>
      </c>
      <c r="L74" s="10" t="str">
        <f>VLOOKUP(E74,Mercados!$A$4:$D$9,2,FALSE)</f>
        <v>Norteamérica</v>
      </c>
      <c r="M74" s="16">
        <f>VLOOKUP(E74,Mercados!$A$4:$D$9,3,FALSE)</f>
        <v>0.05</v>
      </c>
      <c r="N74" s="10" t="str">
        <f>VLOOKUP(E74,Mercados!$A$4:$D$9,4,FALSE)</f>
        <v>Estratégico</v>
      </c>
      <c r="O74" s="29">
        <f t="shared" si="14"/>
        <v>7440</v>
      </c>
      <c r="P74" s="29">
        <f t="shared" si="15"/>
        <v>4960</v>
      </c>
      <c r="Q74" s="29">
        <f t="shared" si="16"/>
        <v>2480</v>
      </c>
      <c r="R74" s="16">
        <f t="shared" si="17"/>
        <v>0.33333333333333331</v>
      </c>
      <c r="S74" s="10" t="str">
        <f t="shared" si="18"/>
        <v>Alta</v>
      </c>
      <c r="T74" s="10" t="str">
        <f t="shared" si="19"/>
        <v>Mediana</v>
      </c>
      <c r="U74" s="11" t="str">
        <f t="shared" si="20"/>
        <v>Alta</v>
      </c>
    </row>
    <row r="75" spans="1:21">
      <c r="A75" s="9" t="s">
        <v>188</v>
      </c>
      <c r="B75" s="23">
        <v>46262</v>
      </c>
      <c r="C75" s="10" t="s">
        <v>105</v>
      </c>
      <c r="D75" s="10" t="s">
        <v>114</v>
      </c>
      <c r="E75" s="10" t="s">
        <v>77</v>
      </c>
      <c r="F75" s="26">
        <v>690</v>
      </c>
      <c r="G75" s="29">
        <v>8.1999999999999993</v>
      </c>
      <c r="H75" s="29">
        <v>5.9</v>
      </c>
      <c r="I75" s="10" t="s">
        <v>118</v>
      </c>
      <c r="J75" s="10" t="str">
        <f>VLOOKUP(D75,Productos!$A$4:$D$8,2,FALSE)</f>
        <v>Maní procesado</v>
      </c>
      <c r="K75" s="10" t="str">
        <f>VLOOKUP(D75,Productos!$A$4:$D$8,3,FALSE)</f>
        <v>Semillas</v>
      </c>
      <c r="L75" s="10" t="str">
        <f>VLOOKUP(E75,Mercados!$A$4:$D$9,2,FALSE)</f>
        <v>Centroamérica</v>
      </c>
      <c r="M75" s="16">
        <f>VLOOKUP(E75,Mercados!$A$4:$D$9,3,FALSE)</f>
        <v>0.03</v>
      </c>
      <c r="N75" s="10" t="str">
        <f>VLOOKUP(E75,Mercados!$A$4:$D$9,4,FALSE)</f>
        <v>Estratégico</v>
      </c>
      <c r="O75" s="29">
        <f t="shared" si="14"/>
        <v>5657.9999999999991</v>
      </c>
      <c r="P75" s="29">
        <f t="shared" si="15"/>
        <v>4071.0000000000005</v>
      </c>
      <c r="Q75" s="29">
        <f t="shared" si="16"/>
        <v>1586.9999999999986</v>
      </c>
      <c r="R75" s="16">
        <f t="shared" si="17"/>
        <v>0.28048780487804859</v>
      </c>
      <c r="S75" s="10" t="str">
        <f t="shared" si="18"/>
        <v>Media</v>
      </c>
      <c r="T75" s="10" t="str">
        <f t="shared" si="19"/>
        <v>Mediana</v>
      </c>
      <c r="U75" s="11" t="str">
        <f t="shared" si="20"/>
        <v>Media</v>
      </c>
    </row>
    <row r="76" spans="1:21">
      <c r="A76" s="9" t="s">
        <v>189</v>
      </c>
      <c r="B76" s="23">
        <v>46271</v>
      </c>
      <c r="C76" s="10" t="s">
        <v>113</v>
      </c>
      <c r="D76" s="10" t="s">
        <v>110</v>
      </c>
      <c r="E76" s="10" t="s">
        <v>79</v>
      </c>
      <c r="F76" s="26">
        <v>1020</v>
      </c>
      <c r="G76" s="29">
        <v>6.5</v>
      </c>
      <c r="H76" s="29">
        <v>4.0999999999999996</v>
      </c>
      <c r="I76" s="10" t="s">
        <v>107</v>
      </c>
      <c r="J76" s="10" t="str">
        <f>VLOOKUP(D76,Productos!$A$4:$D$8,2,FALSE)</f>
        <v>Café especial</v>
      </c>
      <c r="K76" s="10" t="str">
        <f>VLOOKUP(D76,Productos!$A$4:$D$8,3,FALSE)</f>
        <v>Café</v>
      </c>
      <c r="L76" s="10" t="str">
        <f>VLOOKUP(E76,Mercados!$A$4:$D$9,2,FALSE)</f>
        <v>Centroamérica</v>
      </c>
      <c r="M76" s="16">
        <f>VLOOKUP(E76,Mercados!$A$4:$D$9,3,FALSE)</f>
        <v>0.02</v>
      </c>
      <c r="N76" s="10" t="str">
        <f>VLOOKUP(E76,Mercados!$A$4:$D$9,4,FALSE)</f>
        <v>Estratégico</v>
      </c>
      <c r="O76" s="29">
        <f t="shared" si="14"/>
        <v>6630</v>
      </c>
      <c r="P76" s="29">
        <f t="shared" si="15"/>
        <v>4182</v>
      </c>
      <c r="Q76" s="29">
        <f t="shared" si="16"/>
        <v>2448</v>
      </c>
      <c r="R76" s="16">
        <f t="shared" si="17"/>
        <v>0.36923076923076925</v>
      </c>
      <c r="S76" s="10" t="str">
        <f t="shared" si="18"/>
        <v>Alta</v>
      </c>
      <c r="T76" s="10" t="str">
        <f t="shared" si="19"/>
        <v>Mediana</v>
      </c>
      <c r="U76" s="11" t="str">
        <f t="shared" si="20"/>
        <v>Alta</v>
      </c>
    </row>
    <row r="77" spans="1:21">
      <c r="A77" s="9" t="s">
        <v>190</v>
      </c>
      <c r="B77" s="23">
        <v>46280</v>
      </c>
      <c r="C77" s="10" t="s">
        <v>116</v>
      </c>
      <c r="D77" s="10" t="s">
        <v>121</v>
      </c>
      <c r="E77" s="10" t="s">
        <v>69</v>
      </c>
      <c r="F77" s="26">
        <v>610</v>
      </c>
      <c r="G77" s="29">
        <v>12.5</v>
      </c>
      <c r="H77" s="29">
        <v>8.6999999999999993</v>
      </c>
      <c r="I77" s="10" t="s">
        <v>111</v>
      </c>
      <c r="J77" s="10" t="str">
        <f>VLOOKUP(D77,Productos!$A$4:$D$8,2,FALSE)</f>
        <v>Aceite de ajonjolí</v>
      </c>
      <c r="K77" s="10" t="str">
        <f>VLOOKUP(D77,Productos!$A$4:$D$8,3,FALSE)</f>
        <v>Aceites</v>
      </c>
      <c r="L77" s="10" t="str">
        <f>VLOOKUP(E77,Mercados!$A$4:$D$9,2,FALSE)</f>
        <v>Europa</v>
      </c>
      <c r="M77" s="16">
        <f>VLOOKUP(E77,Mercados!$A$4:$D$9,3,FALSE)</f>
        <v>0.1</v>
      </c>
      <c r="N77" s="10" t="str">
        <f>VLOOKUP(E77,Mercados!$A$4:$D$9,4,FALSE)</f>
        <v>Potencial</v>
      </c>
      <c r="O77" s="29">
        <f t="shared" si="14"/>
        <v>7625</v>
      </c>
      <c r="P77" s="29">
        <f t="shared" si="15"/>
        <v>5307</v>
      </c>
      <c r="Q77" s="29">
        <f t="shared" si="16"/>
        <v>2318</v>
      </c>
      <c r="R77" s="16">
        <f t="shared" si="17"/>
        <v>0.30399999999999999</v>
      </c>
      <c r="S77" s="10" t="str">
        <f t="shared" si="18"/>
        <v>Alta</v>
      </c>
      <c r="T77" s="10" t="str">
        <f t="shared" si="19"/>
        <v>Mediana</v>
      </c>
      <c r="U77" s="11" t="str">
        <f t="shared" si="20"/>
        <v>Media</v>
      </c>
    </row>
    <row r="78" spans="1:21">
      <c r="A78" s="9" t="s">
        <v>191</v>
      </c>
      <c r="B78" s="23">
        <v>46289</v>
      </c>
      <c r="C78" s="10" t="s">
        <v>120</v>
      </c>
      <c r="D78" s="10" t="s">
        <v>106</v>
      </c>
      <c r="E78" s="10" t="s">
        <v>73</v>
      </c>
      <c r="F78" s="26">
        <v>840</v>
      </c>
      <c r="G78" s="29">
        <v>4.8</v>
      </c>
      <c r="H78" s="29">
        <v>3.2</v>
      </c>
      <c r="I78" s="10" t="s">
        <v>107</v>
      </c>
      <c r="J78" s="10" t="str">
        <f>VLOOKUP(D78,Productos!$A$4:$D$8,2,FALSE)</f>
        <v>Miel natural</v>
      </c>
      <c r="K78" s="10" t="str">
        <f>VLOOKUP(D78,Productos!$A$4:$D$8,3,FALSE)</f>
        <v>Apícola</v>
      </c>
      <c r="L78" s="10" t="str">
        <f>VLOOKUP(E78,Mercados!$A$4:$D$9,2,FALSE)</f>
        <v>Norteamérica</v>
      </c>
      <c r="M78" s="16">
        <f>VLOOKUP(E78,Mercados!$A$4:$D$9,3,FALSE)</f>
        <v>0.08</v>
      </c>
      <c r="N78" s="10" t="str">
        <f>VLOOKUP(E78,Mercados!$A$4:$D$9,4,FALSE)</f>
        <v>Potencial</v>
      </c>
      <c r="O78" s="29">
        <f t="shared" si="14"/>
        <v>4032</v>
      </c>
      <c r="P78" s="29">
        <f t="shared" si="15"/>
        <v>2688</v>
      </c>
      <c r="Q78" s="29">
        <f t="shared" si="16"/>
        <v>1344</v>
      </c>
      <c r="R78" s="16">
        <f t="shared" si="17"/>
        <v>0.33333333333333331</v>
      </c>
      <c r="S78" s="10" t="str">
        <f t="shared" si="18"/>
        <v>Alta</v>
      </c>
      <c r="T78" s="10" t="str">
        <f t="shared" si="19"/>
        <v>Pequeña</v>
      </c>
      <c r="U78" s="11" t="str">
        <f t="shared" si="20"/>
        <v>Media</v>
      </c>
    </row>
    <row r="79" spans="1:21">
      <c r="A79" s="9" t="s">
        <v>192</v>
      </c>
      <c r="B79" s="23">
        <v>46298</v>
      </c>
      <c r="C79" s="10" t="s">
        <v>109</v>
      </c>
      <c r="D79" s="10" t="s">
        <v>117</v>
      </c>
      <c r="E79" s="10" t="s">
        <v>65</v>
      </c>
      <c r="F79" s="26">
        <v>1210</v>
      </c>
      <c r="G79" s="29">
        <v>7.1</v>
      </c>
      <c r="H79" s="29">
        <v>4.8</v>
      </c>
      <c r="I79" s="10" t="s">
        <v>111</v>
      </c>
      <c r="J79" s="10" t="str">
        <f>VLOOKUP(D79,Productos!$A$4:$D$8,2,FALSE)</f>
        <v>Cacao en grano</v>
      </c>
      <c r="K79" s="10" t="str">
        <f>VLOOKUP(D79,Productos!$A$4:$D$8,3,FALSE)</f>
        <v>Cacao</v>
      </c>
      <c r="L79" s="10" t="str">
        <f>VLOOKUP(E79,Mercados!$A$4:$D$9,2,FALSE)</f>
        <v>Norteamérica</v>
      </c>
      <c r="M79" s="16">
        <f>VLOOKUP(E79,Mercados!$A$4:$D$9,3,FALSE)</f>
        <v>0.05</v>
      </c>
      <c r="N79" s="10" t="str">
        <f>VLOOKUP(E79,Mercados!$A$4:$D$9,4,FALSE)</f>
        <v>Estratégico</v>
      </c>
      <c r="O79" s="29">
        <f t="shared" si="14"/>
        <v>8591</v>
      </c>
      <c r="P79" s="29">
        <f t="shared" si="15"/>
        <v>5808</v>
      </c>
      <c r="Q79" s="29">
        <f t="shared" si="16"/>
        <v>2783</v>
      </c>
      <c r="R79" s="16">
        <f t="shared" si="17"/>
        <v>0.323943661971831</v>
      </c>
      <c r="S79" s="10" t="str">
        <f t="shared" si="18"/>
        <v>Alta</v>
      </c>
      <c r="T79" s="10" t="str">
        <f t="shared" si="19"/>
        <v>Mediana</v>
      </c>
      <c r="U79" s="11" t="str">
        <f t="shared" si="20"/>
        <v>Alta</v>
      </c>
    </row>
    <row r="80" spans="1:21">
      <c r="A80" s="9" t="s">
        <v>193</v>
      </c>
      <c r="B80" s="23">
        <v>46307</v>
      </c>
      <c r="C80" s="10" t="s">
        <v>105</v>
      </c>
      <c r="D80" s="10" t="s">
        <v>110</v>
      </c>
      <c r="E80" s="10" t="s">
        <v>77</v>
      </c>
      <c r="F80" s="26">
        <v>1080</v>
      </c>
      <c r="G80" s="29">
        <v>6.5</v>
      </c>
      <c r="H80" s="29">
        <v>4.0999999999999996</v>
      </c>
      <c r="I80" s="10" t="s">
        <v>111</v>
      </c>
      <c r="J80" s="10" t="str">
        <f>VLOOKUP(D80,Productos!$A$4:$D$8,2,FALSE)</f>
        <v>Café especial</v>
      </c>
      <c r="K80" s="10" t="str">
        <f>VLOOKUP(D80,Productos!$A$4:$D$8,3,FALSE)</f>
        <v>Café</v>
      </c>
      <c r="L80" s="10" t="str">
        <f>VLOOKUP(E80,Mercados!$A$4:$D$9,2,FALSE)</f>
        <v>Centroamérica</v>
      </c>
      <c r="M80" s="16">
        <f>VLOOKUP(E80,Mercados!$A$4:$D$9,3,FALSE)</f>
        <v>0.03</v>
      </c>
      <c r="N80" s="10" t="str">
        <f>VLOOKUP(E80,Mercados!$A$4:$D$9,4,FALSE)</f>
        <v>Estratégico</v>
      </c>
      <c r="O80" s="29">
        <f t="shared" si="14"/>
        <v>7020</v>
      </c>
      <c r="P80" s="29">
        <f t="shared" si="15"/>
        <v>4428</v>
      </c>
      <c r="Q80" s="29">
        <f t="shared" si="16"/>
        <v>2592</v>
      </c>
      <c r="R80" s="16">
        <f t="shared" si="17"/>
        <v>0.36923076923076925</v>
      </c>
      <c r="S80" s="10" t="str">
        <f t="shared" si="18"/>
        <v>Alta</v>
      </c>
      <c r="T80" s="10" t="str">
        <f t="shared" si="19"/>
        <v>Mediana</v>
      </c>
      <c r="U80" s="11" t="str">
        <f t="shared" si="20"/>
        <v>Alta</v>
      </c>
    </row>
    <row r="81" spans="1:21">
      <c r="A81" s="9" t="s">
        <v>194</v>
      </c>
      <c r="B81" s="23">
        <v>46316</v>
      </c>
      <c r="C81" s="10" t="s">
        <v>113</v>
      </c>
      <c r="D81" s="10" t="s">
        <v>114</v>
      </c>
      <c r="E81" s="10" t="s">
        <v>79</v>
      </c>
      <c r="F81" s="26">
        <v>720</v>
      </c>
      <c r="G81" s="29">
        <v>8.1999999999999993</v>
      </c>
      <c r="H81" s="29">
        <v>5.9</v>
      </c>
      <c r="I81" s="10" t="s">
        <v>107</v>
      </c>
      <c r="J81" s="10" t="str">
        <f>VLOOKUP(D81,Productos!$A$4:$D$8,2,FALSE)</f>
        <v>Maní procesado</v>
      </c>
      <c r="K81" s="10" t="str">
        <f>VLOOKUP(D81,Productos!$A$4:$D$8,3,FALSE)</f>
        <v>Semillas</v>
      </c>
      <c r="L81" s="10" t="str">
        <f>VLOOKUP(E81,Mercados!$A$4:$D$9,2,FALSE)</f>
        <v>Centroamérica</v>
      </c>
      <c r="M81" s="16">
        <f>VLOOKUP(E81,Mercados!$A$4:$D$9,3,FALSE)</f>
        <v>0.02</v>
      </c>
      <c r="N81" s="10" t="str">
        <f>VLOOKUP(E81,Mercados!$A$4:$D$9,4,FALSE)</f>
        <v>Estratégico</v>
      </c>
      <c r="O81" s="29">
        <f t="shared" si="14"/>
        <v>5903.9999999999991</v>
      </c>
      <c r="P81" s="29">
        <f t="shared" si="15"/>
        <v>4248</v>
      </c>
      <c r="Q81" s="29">
        <f t="shared" si="16"/>
        <v>1655.9999999999991</v>
      </c>
      <c r="R81" s="16">
        <f t="shared" si="17"/>
        <v>0.2804878048780487</v>
      </c>
      <c r="S81" s="10" t="str">
        <f t="shared" si="18"/>
        <v>Media</v>
      </c>
      <c r="T81" s="10" t="str">
        <f t="shared" si="19"/>
        <v>Mediana</v>
      </c>
      <c r="U81" s="11" t="str">
        <f t="shared" si="20"/>
        <v>Media</v>
      </c>
    </row>
    <row r="82" spans="1:21">
      <c r="A82" s="9" t="s">
        <v>195</v>
      </c>
      <c r="B82" s="23">
        <v>46325</v>
      </c>
      <c r="C82" s="10" t="s">
        <v>116</v>
      </c>
      <c r="D82" s="10" t="s">
        <v>106</v>
      </c>
      <c r="E82" s="10" t="s">
        <v>69</v>
      </c>
      <c r="F82" s="26">
        <v>1160</v>
      </c>
      <c r="G82" s="29">
        <v>4.8</v>
      </c>
      <c r="H82" s="29">
        <v>3.2</v>
      </c>
      <c r="I82" s="10" t="s">
        <v>118</v>
      </c>
      <c r="J82" s="10" t="str">
        <f>VLOOKUP(D82,Productos!$A$4:$D$8,2,FALSE)</f>
        <v>Miel natural</v>
      </c>
      <c r="K82" s="10" t="str">
        <f>VLOOKUP(D82,Productos!$A$4:$D$8,3,FALSE)</f>
        <v>Apícola</v>
      </c>
      <c r="L82" s="10" t="str">
        <f>VLOOKUP(E82,Mercados!$A$4:$D$9,2,FALSE)</f>
        <v>Europa</v>
      </c>
      <c r="M82" s="16">
        <f>VLOOKUP(E82,Mercados!$A$4:$D$9,3,FALSE)</f>
        <v>0.1</v>
      </c>
      <c r="N82" s="10" t="str">
        <f>VLOOKUP(E82,Mercados!$A$4:$D$9,4,FALSE)</f>
        <v>Potencial</v>
      </c>
      <c r="O82" s="29">
        <f t="shared" si="14"/>
        <v>5568</v>
      </c>
      <c r="P82" s="29">
        <f t="shared" si="15"/>
        <v>3712</v>
      </c>
      <c r="Q82" s="29">
        <f t="shared" si="16"/>
        <v>1856</v>
      </c>
      <c r="R82" s="16">
        <f t="shared" si="17"/>
        <v>0.33333333333333331</v>
      </c>
      <c r="S82" s="10" t="str">
        <f t="shared" si="18"/>
        <v>Alta</v>
      </c>
      <c r="T82" s="10" t="str">
        <f t="shared" si="19"/>
        <v>Mediana</v>
      </c>
      <c r="U82" s="11" t="str">
        <f t="shared" si="20"/>
        <v>Media</v>
      </c>
    </row>
    <row r="83" spans="1:21">
      <c r="A83" s="9" t="s">
        <v>196</v>
      </c>
      <c r="B83" s="23">
        <v>46334</v>
      </c>
      <c r="C83" s="10" t="s">
        <v>120</v>
      </c>
      <c r="D83" s="10" t="s">
        <v>121</v>
      </c>
      <c r="E83" s="10" t="s">
        <v>73</v>
      </c>
      <c r="F83" s="26">
        <v>560</v>
      </c>
      <c r="G83" s="29">
        <v>12.5</v>
      </c>
      <c r="H83" s="29">
        <v>8.6999999999999993</v>
      </c>
      <c r="I83" s="10" t="s">
        <v>111</v>
      </c>
      <c r="J83" s="10" t="str">
        <f>VLOOKUP(D83,Productos!$A$4:$D$8,2,FALSE)</f>
        <v>Aceite de ajonjolí</v>
      </c>
      <c r="K83" s="10" t="str">
        <f>VLOOKUP(D83,Productos!$A$4:$D$8,3,FALSE)</f>
        <v>Aceites</v>
      </c>
      <c r="L83" s="10" t="str">
        <f>VLOOKUP(E83,Mercados!$A$4:$D$9,2,FALSE)</f>
        <v>Norteamérica</v>
      </c>
      <c r="M83" s="16">
        <f>VLOOKUP(E83,Mercados!$A$4:$D$9,3,FALSE)</f>
        <v>0.08</v>
      </c>
      <c r="N83" s="10" t="str">
        <f>VLOOKUP(E83,Mercados!$A$4:$D$9,4,FALSE)</f>
        <v>Potencial</v>
      </c>
      <c r="O83" s="29">
        <f t="shared" si="14"/>
        <v>7000</v>
      </c>
      <c r="P83" s="29">
        <f t="shared" si="15"/>
        <v>4872</v>
      </c>
      <c r="Q83" s="29">
        <f t="shared" si="16"/>
        <v>2128</v>
      </c>
      <c r="R83" s="16">
        <f t="shared" si="17"/>
        <v>0.30399999999999999</v>
      </c>
      <c r="S83" s="10" t="str">
        <f t="shared" si="18"/>
        <v>Alta</v>
      </c>
      <c r="T83" s="10" t="str">
        <f t="shared" si="19"/>
        <v>Mediana</v>
      </c>
      <c r="U83" s="11" t="str">
        <f t="shared" si="20"/>
        <v>Media</v>
      </c>
    </row>
    <row r="84" spans="1:21">
      <c r="A84" s="9" t="s">
        <v>197</v>
      </c>
      <c r="B84" s="23">
        <v>46343</v>
      </c>
      <c r="C84" s="10" t="s">
        <v>109</v>
      </c>
      <c r="D84" s="10" t="s">
        <v>110</v>
      </c>
      <c r="E84" s="10" t="s">
        <v>65</v>
      </c>
      <c r="F84" s="26">
        <v>1380</v>
      </c>
      <c r="G84" s="29">
        <v>6.5</v>
      </c>
      <c r="H84" s="29">
        <v>4.0999999999999996</v>
      </c>
      <c r="I84" s="10" t="s">
        <v>107</v>
      </c>
      <c r="J84" s="10" t="str">
        <f>VLOOKUP(D84,Productos!$A$4:$D$8,2,FALSE)</f>
        <v>Café especial</v>
      </c>
      <c r="K84" s="10" t="str">
        <f>VLOOKUP(D84,Productos!$A$4:$D$8,3,FALSE)</f>
        <v>Café</v>
      </c>
      <c r="L84" s="10" t="str">
        <f>VLOOKUP(E84,Mercados!$A$4:$D$9,2,FALSE)</f>
        <v>Norteamérica</v>
      </c>
      <c r="M84" s="16">
        <f>VLOOKUP(E84,Mercados!$A$4:$D$9,3,FALSE)</f>
        <v>0.05</v>
      </c>
      <c r="N84" s="10" t="str">
        <f>VLOOKUP(E84,Mercados!$A$4:$D$9,4,FALSE)</f>
        <v>Estratégico</v>
      </c>
      <c r="O84" s="29">
        <f t="shared" si="14"/>
        <v>8970</v>
      </c>
      <c r="P84" s="29">
        <f t="shared" si="15"/>
        <v>5657.9999999999991</v>
      </c>
      <c r="Q84" s="29">
        <f t="shared" si="16"/>
        <v>3312.0000000000009</v>
      </c>
      <c r="R84" s="16">
        <f t="shared" si="17"/>
        <v>0.36923076923076931</v>
      </c>
      <c r="S84" s="10" t="str">
        <f t="shared" si="18"/>
        <v>Alta</v>
      </c>
      <c r="T84" s="10" t="str">
        <f t="shared" si="19"/>
        <v>Mediana</v>
      </c>
      <c r="U84" s="11" t="str">
        <f t="shared" si="20"/>
        <v>Alta</v>
      </c>
    </row>
    <row r="85" spans="1:21">
      <c r="A85" s="9" t="s">
        <v>198</v>
      </c>
      <c r="B85" s="23">
        <v>46352</v>
      </c>
      <c r="C85" s="10" t="s">
        <v>105</v>
      </c>
      <c r="D85" s="10" t="s">
        <v>117</v>
      </c>
      <c r="E85" s="10" t="s">
        <v>77</v>
      </c>
      <c r="F85" s="26">
        <v>940</v>
      </c>
      <c r="G85" s="29">
        <v>7.1</v>
      </c>
      <c r="H85" s="29">
        <v>4.8</v>
      </c>
      <c r="I85" s="10" t="s">
        <v>111</v>
      </c>
      <c r="J85" s="10" t="str">
        <f>VLOOKUP(D85,Productos!$A$4:$D$8,2,FALSE)</f>
        <v>Cacao en grano</v>
      </c>
      <c r="K85" s="10" t="str">
        <f>VLOOKUP(D85,Productos!$A$4:$D$8,3,FALSE)</f>
        <v>Cacao</v>
      </c>
      <c r="L85" s="10" t="str">
        <f>VLOOKUP(E85,Mercados!$A$4:$D$9,2,FALSE)</f>
        <v>Centroamérica</v>
      </c>
      <c r="M85" s="16">
        <f>VLOOKUP(E85,Mercados!$A$4:$D$9,3,FALSE)</f>
        <v>0.03</v>
      </c>
      <c r="N85" s="10" t="str">
        <f>VLOOKUP(E85,Mercados!$A$4:$D$9,4,FALSE)</f>
        <v>Estratégico</v>
      </c>
      <c r="O85" s="29">
        <f t="shared" si="14"/>
        <v>6674</v>
      </c>
      <c r="P85" s="29">
        <f t="shared" si="15"/>
        <v>4512</v>
      </c>
      <c r="Q85" s="29">
        <f t="shared" si="16"/>
        <v>2162</v>
      </c>
      <c r="R85" s="16">
        <f t="shared" si="17"/>
        <v>0.323943661971831</v>
      </c>
      <c r="S85" s="10" t="str">
        <f t="shared" si="18"/>
        <v>Alta</v>
      </c>
      <c r="T85" s="10" t="str">
        <f t="shared" si="19"/>
        <v>Mediana</v>
      </c>
      <c r="U85" s="11" t="str">
        <f t="shared" si="20"/>
        <v>Alta</v>
      </c>
    </row>
    <row r="86" spans="1:21">
      <c r="A86" s="9" t="s">
        <v>199</v>
      </c>
      <c r="B86" s="23">
        <v>46361</v>
      </c>
      <c r="C86" s="10" t="s">
        <v>113</v>
      </c>
      <c r="D86" s="10" t="s">
        <v>106</v>
      </c>
      <c r="E86" s="10" t="s">
        <v>79</v>
      </c>
      <c r="F86" s="26">
        <v>870</v>
      </c>
      <c r="G86" s="29">
        <v>4.8</v>
      </c>
      <c r="H86" s="29">
        <v>3.2</v>
      </c>
      <c r="I86" s="10" t="s">
        <v>107</v>
      </c>
      <c r="J86" s="10" t="str">
        <f>VLOOKUP(D86,Productos!$A$4:$D$8,2,FALSE)</f>
        <v>Miel natural</v>
      </c>
      <c r="K86" s="10" t="str">
        <f>VLOOKUP(D86,Productos!$A$4:$D$8,3,FALSE)</f>
        <v>Apícola</v>
      </c>
      <c r="L86" s="10" t="str">
        <f>VLOOKUP(E86,Mercados!$A$4:$D$9,2,FALSE)</f>
        <v>Centroamérica</v>
      </c>
      <c r="M86" s="16">
        <f>VLOOKUP(E86,Mercados!$A$4:$D$9,3,FALSE)</f>
        <v>0.02</v>
      </c>
      <c r="N86" s="10" t="str">
        <f>VLOOKUP(E86,Mercados!$A$4:$D$9,4,FALSE)</f>
        <v>Estratégico</v>
      </c>
      <c r="O86" s="29">
        <f t="shared" si="14"/>
        <v>4176</v>
      </c>
      <c r="P86" s="29">
        <f t="shared" si="15"/>
        <v>2784</v>
      </c>
      <c r="Q86" s="29">
        <f t="shared" si="16"/>
        <v>1392</v>
      </c>
      <c r="R86" s="16">
        <f t="shared" si="17"/>
        <v>0.33333333333333331</v>
      </c>
      <c r="S86" s="10" t="str">
        <f t="shared" si="18"/>
        <v>Alta</v>
      </c>
      <c r="T86" s="10" t="str">
        <f t="shared" si="19"/>
        <v>Pequeña</v>
      </c>
      <c r="U86" s="11" t="str">
        <f t="shared" si="20"/>
        <v>Alta</v>
      </c>
    </row>
    <row r="87" spans="1:21">
      <c r="A87" s="9" t="s">
        <v>200</v>
      </c>
      <c r="B87" s="23">
        <v>46370</v>
      </c>
      <c r="C87" s="10" t="s">
        <v>116</v>
      </c>
      <c r="D87" s="10" t="s">
        <v>114</v>
      </c>
      <c r="E87" s="10" t="s">
        <v>69</v>
      </c>
      <c r="F87" s="26">
        <v>810</v>
      </c>
      <c r="G87" s="29">
        <v>8.1999999999999993</v>
      </c>
      <c r="H87" s="29">
        <v>5.9</v>
      </c>
      <c r="I87" s="10" t="s">
        <v>111</v>
      </c>
      <c r="J87" s="10" t="str">
        <f>VLOOKUP(D87,Productos!$A$4:$D$8,2,FALSE)</f>
        <v>Maní procesado</v>
      </c>
      <c r="K87" s="10" t="str">
        <f>VLOOKUP(D87,Productos!$A$4:$D$8,3,FALSE)</f>
        <v>Semillas</v>
      </c>
      <c r="L87" s="10" t="str">
        <f>VLOOKUP(E87,Mercados!$A$4:$D$9,2,FALSE)</f>
        <v>Europa</v>
      </c>
      <c r="M87" s="16">
        <f>VLOOKUP(E87,Mercados!$A$4:$D$9,3,FALSE)</f>
        <v>0.1</v>
      </c>
      <c r="N87" s="10" t="str">
        <f>VLOOKUP(E87,Mercados!$A$4:$D$9,4,FALSE)</f>
        <v>Potencial</v>
      </c>
      <c r="O87" s="29">
        <f t="shared" si="14"/>
        <v>6641.9999999999991</v>
      </c>
      <c r="P87" s="29">
        <f t="shared" si="15"/>
        <v>4779</v>
      </c>
      <c r="Q87" s="29">
        <f t="shared" si="16"/>
        <v>1862.9999999999991</v>
      </c>
      <c r="R87" s="16">
        <f t="shared" si="17"/>
        <v>0.2804878048780487</v>
      </c>
      <c r="S87" s="10" t="str">
        <f t="shared" si="18"/>
        <v>Media</v>
      </c>
      <c r="T87" s="10" t="str">
        <f t="shared" si="19"/>
        <v>Mediana</v>
      </c>
      <c r="U87" s="11" t="str">
        <f t="shared" si="20"/>
        <v>Baja</v>
      </c>
    </row>
    <row r="88" spans="1:21">
      <c r="A88" s="9" t="s">
        <v>201</v>
      </c>
      <c r="B88" s="23">
        <v>46379</v>
      </c>
      <c r="C88" s="10" t="s">
        <v>120</v>
      </c>
      <c r="D88" s="10" t="s">
        <v>110</v>
      </c>
      <c r="E88" s="10" t="s">
        <v>73</v>
      </c>
      <c r="F88" s="26">
        <v>990</v>
      </c>
      <c r="G88" s="29">
        <v>6.5</v>
      </c>
      <c r="H88" s="29">
        <v>4.0999999999999996</v>
      </c>
      <c r="I88" s="10" t="s">
        <v>118</v>
      </c>
      <c r="J88" s="10" t="str">
        <f>VLOOKUP(D88,Productos!$A$4:$D$8,2,FALSE)</f>
        <v>Café especial</v>
      </c>
      <c r="K88" s="10" t="str">
        <f>VLOOKUP(D88,Productos!$A$4:$D$8,3,FALSE)</f>
        <v>Café</v>
      </c>
      <c r="L88" s="10" t="str">
        <f>VLOOKUP(E88,Mercados!$A$4:$D$9,2,FALSE)</f>
        <v>Norteamérica</v>
      </c>
      <c r="M88" s="16">
        <f>VLOOKUP(E88,Mercados!$A$4:$D$9,3,FALSE)</f>
        <v>0.08</v>
      </c>
      <c r="N88" s="10" t="str">
        <f>VLOOKUP(E88,Mercados!$A$4:$D$9,4,FALSE)</f>
        <v>Potencial</v>
      </c>
      <c r="O88" s="29">
        <f t="shared" si="14"/>
        <v>6435</v>
      </c>
      <c r="P88" s="29">
        <f t="shared" si="15"/>
        <v>4058.9999999999995</v>
      </c>
      <c r="Q88" s="29">
        <f t="shared" si="16"/>
        <v>2376.0000000000005</v>
      </c>
      <c r="R88" s="16">
        <f t="shared" si="17"/>
        <v>0.36923076923076931</v>
      </c>
      <c r="S88" s="10" t="str">
        <f t="shared" si="18"/>
        <v>Alta</v>
      </c>
      <c r="T88" s="10" t="str">
        <f t="shared" si="19"/>
        <v>Mediana</v>
      </c>
      <c r="U88" s="11" t="str">
        <f t="shared" si="20"/>
        <v>Media</v>
      </c>
    </row>
    <row r="89" spans="1:21">
      <c r="A89" s="9" t="s">
        <v>202</v>
      </c>
      <c r="B89" s="23">
        <v>46386</v>
      </c>
      <c r="C89" s="10" t="s">
        <v>109</v>
      </c>
      <c r="D89" s="10" t="s">
        <v>121</v>
      </c>
      <c r="E89" s="10" t="s">
        <v>65</v>
      </c>
      <c r="F89" s="26">
        <v>730</v>
      </c>
      <c r="G89" s="29">
        <v>12.5</v>
      </c>
      <c r="H89" s="29">
        <v>8.6999999999999993</v>
      </c>
      <c r="I89" s="10" t="s">
        <v>111</v>
      </c>
      <c r="J89" s="10" t="str">
        <f>VLOOKUP(D89,Productos!$A$4:$D$8,2,FALSE)</f>
        <v>Aceite de ajonjolí</v>
      </c>
      <c r="K89" s="10" t="str">
        <f>VLOOKUP(D89,Productos!$A$4:$D$8,3,FALSE)</f>
        <v>Aceites</v>
      </c>
      <c r="L89" s="10" t="str">
        <f>VLOOKUP(E89,Mercados!$A$4:$D$9,2,FALSE)</f>
        <v>Norteamérica</v>
      </c>
      <c r="M89" s="16">
        <f>VLOOKUP(E89,Mercados!$A$4:$D$9,3,FALSE)</f>
        <v>0.05</v>
      </c>
      <c r="N89" s="10" t="str">
        <f>VLOOKUP(E89,Mercados!$A$4:$D$9,4,FALSE)</f>
        <v>Estratégico</v>
      </c>
      <c r="O89" s="29">
        <f t="shared" si="14"/>
        <v>9125</v>
      </c>
      <c r="P89" s="29">
        <f t="shared" si="15"/>
        <v>6350.9999999999991</v>
      </c>
      <c r="Q89" s="29">
        <f t="shared" si="16"/>
        <v>2774.0000000000009</v>
      </c>
      <c r="R89" s="16">
        <f t="shared" si="17"/>
        <v>0.3040000000000001</v>
      </c>
      <c r="S89" s="10" t="str">
        <f t="shared" si="18"/>
        <v>Alta</v>
      </c>
      <c r="T89" s="10" t="str">
        <f t="shared" si="19"/>
        <v>Mediana</v>
      </c>
      <c r="U89" s="11" t="str">
        <f t="shared" si="20"/>
        <v>Alta</v>
      </c>
    </row>
    <row r="90" spans="1:21">
      <c r="A90" s="9" t="s">
        <v>203</v>
      </c>
      <c r="B90" s="23">
        <v>46029</v>
      </c>
      <c r="C90" s="10" t="s">
        <v>105</v>
      </c>
      <c r="D90" s="10" t="s">
        <v>114</v>
      </c>
      <c r="E90" s="10" t="s">
        <v>77</v>
      </c>
      <c r="F90" s="26">
        <v>780</v>
      </c>
      <c r="G90" s="29">
        <v>8.1999999999999993</v>
      </c>
      <c r="H90" s="29">
        <v>5.9</v>
      </c>
      <c r="I90" s="10" t="s">
        <v>107</v>
      </c>
      <c r="J90" s="10" t="str">
        <f>VLOOKUP(D90,Productos!$A$4:$D$8,2,FALSE)</f>
        <v>Maní procesado</v>
      </c>
      <c r="K90" s="10" t="str">
        <f>VLOOKUP(D90,Productos!$A$4:$D$8,3,FALSE)</f>
        <v>Semillas</v>
      </c>
      <c r="L90" s="10" t="str">
        <f>VLOOKUP(E90,Mercados!$A$4:$D$9,2,FALSE)</f>
        <v>Centroamérica</v>
      </c>
      <c r="M90" s="16">
        <f>VLOOKUP(E90,Mercados!$A$4:$D$9,3,FALSE)</f>
        <v>0.03</v>
      </c>
      <c r="N90" s="10" t="str">
        <f>VLOOKUP(E90,Mercados!$A$4:$D$9,4,FALSE)</f>
        <v>Estratégico</v>
      </c>
      <c r="O90" s="29">
        <f t="shared" si="14"/>
        <v>6395.9999999999991</v>
      </c>
      <c r="P90" s="29">
        <f t="shared" si="15"/>
        <v>4602</v>
      </c>
      <c r="Q90" s="29">
        <f t="shared" si="16"/>
        <v>1793.9999999999991</v>
      </c>
      <c r="R90" s="16">
        <f t="shared" si="17"/>
        <v>0.2804878048780487</v>
      </c>
      <c r="S90" s="10" t="str">
        <f t="shared" si="18"/>
        <v>Media</v>
      </c>
      <c r="T90" s="10" t="str">
        <f t="shared" si="19"/>
        <v>Mediana</v>
      </c>
      <c r="U90" s="11" t="str">
        <f t="shared" si="20"/>
        <v>Media</v>
      </c>
    </row>
    <row r="91" spans="1:21">
      <c r="A91" s="9" t="s">
        <v>204</v>
      </c>
      <c r="B91" s="23">
        <v>46038</v>
      </c>
      <c r="C91" s="10" t="s">
        <v>113</v>
      </c>
      <c r="D91" s="10" t="s">
        <v>106</v>
      </c>
      <c r="E91" s="10" t="s">
        <v>79</v>
      </c>
      <c r="F91" s="26">
        <v>930</v>
      </c>
      <c r="G91" s="29">
        <v>4.8</v>
      </c>
      <c r="H91" s="29">
        <v>3.2</v>
      </c>
      <c r="I91" s="10" t="s">
        <v>111</v>
      </c>
      <c r="J91" s="10" t="str">
        <f>VLOOKUP(D91,Productos!$A$4:$D$8,2,FALSE)</f>
        <v>Miel natural</v>
      </c>
      <c r="K91" s="10" t="str">
        <f>VLOOKUP(D91,Productos!$A$4:$D$8,3,FALSE)</f>
        <v>Apícola</v>
      </c>
      <c r="L91" s="10" t="str">
        <f>VLOOKUP(E91,Mercados!$A$4:$D$9,2,FALSE)</f>
        <v>Centroamérica</v>
      </c>
      <c r="M91" s="16">
        <f>VLOOKUP(E91,Mercados!$A$4:$D$9,3,FALSE)</f>
        <v>0.02</v>
      </c>
      <c r="N91" s="10" t="str">
        <f>VLOOKUP(E91,Mercados!$A$4:$D$9,4,FALSE)</f>
        <v>Estratégico</v>
      </c>
      <c r="O91" s="29">
        <f t="shared" si="14"/>
        <v>4464</v>
      </c>
      <c r="P91" s="29">
        <f t="shared" si="15"/>
        <v>2976</v>
      </c>
      <c r="Q91" s="29">
        <f t="shared" si="16"/>
        <v>1488</v>
      </c>
      <c r="R91" s="16">
        <f t="shared" si="17"/>
        <v>0.33333333333333331</v>
      </c>
      <c r="S91" s="10" t="str">
        <f t="shared" si="18"/>
        <v>Alta</v>
      </c>
      <c r="T91" s="10" t="str">
        <f t="shared" si="19"/>
        <v>Pequeña</v>
      </c>
      <c r="U91" s="11" t="str">
        <f t="shared" si="20"/>
        <v>Alta</v>
      </c>
    </row>
    <row r="92" spans="1:21">
      <c r="A92" s="9" t="s">
        <v>205</v>
      </c>
      <c r="B92" s="23">
        <v>46047</v>
      </c>
      <c r="C92" s="10" t="s">
        <v>116</v>
      </c>
      <c r="D92" s="10" t="s">
        <v>117</v>
      </c>
      <c r="E92" s="10" t="s">
        <v>69</v>
      </c>
      <c r="F92" s="26">
        <v>870</v>
      </c>
      <c r="G92" s="29">
        <v>7.1</v>
      </c>
      <c r="H92" s="29">
        <v>4.8</v>
      </c>
      <c r="I92" s="10" t="s">
        <v>118</v>
      </c>
      <c r="J92" s="10" t="str">
        <f>VLOOKUP(D92,Productos!$A$4:$D$8,2,FALSE)</f>
        <v>Cacao en grano</v>
      </c>
      <c r="K92" s="10" t="str">
        <f>VLOOKUP(D92,Productos!$A$4:$D$8,3,FALSE)</f>
        <v>Cacao</v>
      </c>
      <c r="L92" s="10" t="str">
        <f>VLOOKUP(E92,Mercados!$A$4:$D$9,2,FALSE)</f>
        <v>Europa</v>
      </c>
      <c r="M92" s="16">
        <f>VLOOKUP(E92,Mercados!$A$4:$D$9,3,FALSE)</f>
        <v>0.1</v>
      </c>
      <c r="N92" s="10" t="str">
        <f>VLOOKUP(E92,Mercados!$A$4:$D$9,4,FALSE)</f>
        <v>Potencial</v>
      </c>
      <c r="O92" s="29">
        <f t="shared" si="14"/>
        <v>6177</v>
      </c>
      <c r="P92" s="29">
        <f t="shared" si="15"/>
        <v>4176</v>
      </c>
      <c r="Q92" s="29">
        <f t="shared" si="16"/>
        <v>2001</v>
      </c>
      <c r="R92" s="16">
        <f t="shared" si="17"/>
        <v>0.323943661971831</v>
      </c>
      <c r="S92" s="10" t="str">
        <f t="shared" si="18"/>
        <v>Alta</v>
      </c>
      <c r="T92" s="10" t="str">
        <f t="shared" si="19"/>
        <v>Mediana</v>
      </c>
      <c r="U92" s="11" t="str">
        <f t="shared" si="20"/>
        <v>Media</v>
      </c>
    </row>
    <row r="93" spans="1:21">
      <c r="A93" s="9" t="s">
        <v>206</v>
      </c>
      <c r="B93" s="23">
        <v>46059</v>
      </c>
      <c r="C93" s="10" t="s">
        <v>120</v>
      </c>
      <c r="D93" s="10" t="s">
        <v>121</v>
      </c>
      <c r="E93" s="10" t="s">
        <v>73</v>
      </c>
      <c r="F93" s="26">
        <v>480</v>
      </c>
      <c r="G93" s="29">
        <v>12.5</v>
      </c>
      <c r="H93" s="29">
        <v>8.6999999999999993</v>
      </c>
      <c r="I93" s="10" t="s">
        <v>107</v>
      </c>
      <c r="J93" s="10" t="str">
        <f>VLOOKUP(D93,Productos!$A$4:$D$8,2,FALSE)</f>
        <v>Aceite de ajonjolí</v>
      </c>
      <c r="K93" s="10" t="str">
        <f>VLOOKUP(D93,Productos!$A$4:$D$8,3,FALSE)</f>
        <v>Aceites</v>
      </c>
      <c r="L93" s="10" t="str">
        <f>VLOOKUP(E93,Mercados!$A$4:$D$9,2,FALSE)</f>
        <v>Norteamérica</v>
      </c>
      <c r="M93" s="16">
        <f>VLOOKUP(E93,Mercados!$A$4:$D$9,3,FALSE)</f>
        <v>0.08</v>
      </c>
      <c r="N93" s="10" t="str">
        <f>VLOOKUP(E93,Mercados!$A$4:$D$9,4,FALSE)</f>
        <v>Potencial</v>
      </c>
      <c r="O93" s="29">
        <f t="shared" si="14"/>
        <v>6000</v>
      </c>
      <c r="P93" s="29">
        <f t="shared" si="15"/>
        <v>4176</v>
      </c>
      <c r="Q93" s="29">
        <f t="shared" si="16"/>
        <v>1824</v>
      </c>
      <c r="R93" s="16">
        <f t="shared" si="17"/>
        <v>0.30399999999999999</v>
      </c>
      <c r="S93" s="10" t="str">
        <f t="shared" si="18"/>
        <v>Alta</v>
      </c>
      <c r="T93" s="10" t="str">
        <f t="shared" si="19"/>
        <v>Mediana</v>
      </c>
      <c r="U93" s="11" t="str">
        <f t="shared" si="20"/>
        <v>Media</v>
      </c>
    </row>
    <row r="94" spans="1:21">
      <c r="A94" s="9" t="s">
        <v>207</v>
      </c>
      <c r="B94" s="23">
        <v>46068</v>
      </c>
      <c r="C94" s="10" t="s">
        <v>109</v>
      </c>
      <c r="D94" s="10" t="s">
        <v>110</v>
      </c>
      <c r="E94" s="10" t="s">
        <v>65</v>
      </c>
      <c r="F94" s="26">
        <v>1260</v>
      </c>
      <c r="G94" s="29">
        <v>6.5</v>
      </c>
      <c r="H94" s="29">
        <v>4.0999999999999996</v>
      </c>
      <c r="I94" s="10" t="s">
        <v>111</v>
      </c>
      <c r="J94" s="10" t="str">
        <f>VLOOKUP(D94,Productos!$A$4:$D$8,2,FALSE)</f>
        <v>Café especial</v>
      </c>
      <c r="K94" s="10" t="str">
        <f>VLOOKUP(D94,Productos!$A$4:$D$8,3,FALSE)</f>
        <v>Café</v>
      </c>
      <c r="L94" s="10" t="str">
        <f>VLOOKUP(E94,Mercados!$A$4:$D$9,2,FALSE)</f>
        <v>Norteamérica</v>
      </c>
      <c r="M94" s="16">
        <f>VLOOKUP(E94,Mercados!$A$4:$D$9,3,FALSE)</f>
        <v>0.05</v>
      </c>
      <c r="N94" s="10" t="str">
        <f>VLOOKUP(E94,Mercados!$A$4:$D$9,4,FALSE)</f>
        <v>Estratégico</v>
      </c>
      <c r="O94" s="29">
        <f t="shared" si="14"/>
        <v>8190</v>
      </c>
      <c r="P94" s="29">
        <f t="shared" si="15"/>
        <v>5166</v>
      </c>
      <c r="Q94" s="29">
        <f t="shared" si="16"/>
        <v>3024</v>
      </c>
      <c r="R94" s="16">
        <f t="shared" si="17"/>
        <v>0.36923076923076925</v>
      </c>
      <c r="S94" s="10" t="str">
        <f t="shared" si="18"/>
        <v>Alta</v>
      </c>
      <c r="T94" s="10" t="str">
        <f t="shared" si="19"/>
        <v>Mediana</v>
      </c>
      <c r="U94" s="11" t="str">
        <f t="shared" si="20"/>
        <v>Alta</v>
      </c>
    </row>
    <row r="95" spans="1:21">
      <c r="A95" s="9" t="s">
        <v>208</v>
      </c>
      <c r="B95" s="23">
        <v>46077</v>
      </c>
      <c r="C95" s="10" t="s">
        <v>105</v>
      </c>
      <c r="D95" s="10" t="s">
        <v>106</v>
      </c>
      <c r="E95" s="10" t="s">
        <v>77</v>
      </c>
      <c r="F95" s="26">
        <v>1100</v>
      </c>
      <c r="G95" s="29">
        <v>4.8</v>
      </c>
      <c r="H95" s="29">
        <v>3.2</v>
      </c>
      <c r="I95" s="10" t="s">
        <v>107</v>
      </c>
      <c r="J95" s="10" t="str">
        <f>VLOOKUP(D95,Productos!$A$4:$D$8,2,FALSE)</f>
        <v>Miel natural</v>
      </c>
      <c r="K95" s="10" t="str">
        <f>VLOOKUP(D95,Productos!$A$4:$D$8,3,FALSE)</f>
        <v>Apícola</v>
      </c>
      <c r="L95" s="10" t="str">
        <f>VLOOKUP(E95,Mercados!$A$4:$D$9,2,FALSE)</f>
        <v>Centroamérica</v>
      </c>
      <c r="M95" s="16">
        <f>VLOOKUP(E95,Mercados!$A$4:$D$9,3,FALSE)</f>
        <v>0.03</v>
      </c>
      <c r="N95" s="10" t="str">
        <f>VLOOKUP(E95,Mercados!$A$4:$D$9,4,FALSE)</f>
        <v>Estratégico</v>
      </c>
      <c r="O95" s="29">
        <f t="shared" si="14"/>
        <v>5280</v>
      </c>
      <c r="P95" s="29">
        <f t="shared" si="15"/>
        <v>3520</v>
      </c>
      <c r="Q95" s="29">
        <f t="shared" si="16"/>
        <v>1760</v>
      </c>
      <c r="R95" s="16">
        <f t="shared" si="17"/>
        <v>0.33333333333333331</v>
      </c>
      <c r="S95" s="10" t="str">
        <f t="shared" si="18"/>
        <v>Alta</v>
      </c>
      <c r="T95" s="10" t="str">
        <f t="shared" si="19"/>
        <v>Mediana</v>
      </c>
      <c r="U95" s="11" t="str">
        <f t="shared" si="20"/>
        <v>Alta</v>
      </c>
    </row>
    <row r="96" spans="1:21">
      <c r="A96" s="9" t="s">
        <v>209</v>
      </c>
      <c r="B96" s="23">
        <v>46086</v>
      </c>
      <c r="C96" s="10" t="s">
        <v>113</v>
      </c>
      <c r="D96" s="10" t="s">
        <v>121</v>
      </c>
      <c r="E96" s="10" t="s">
        <v>79</v>
      </c>
      <c r="F96" s="26">
        <v>570</v>
      </c>
      <c r="G96" s="29">
        <v>12.5</v>
      </c>
      <c r="H96" s="29">
        <v>8.6999999999999993</v>
      </c>
      <c r="I96" s="10" t="s">
        <v>111</v>
      </c>
      <c r="J96" s="10" t="str">
        <f>VLOOKUP(D96,Productos!$A$4:$D$8,2,FALSE)</f>
        <v>Aceite de ajonjolí</v>
      </c>
      <c r="K96" s="10" t="str">
        <f>VLOOKUP(D96,Productos!$A$4:$D$8,3,FALSE)</f>
        <v>Aceites</v>
      </c>
      <c r="L96" s="10" t="str">
        <f>VLOOKUP(E96,Mercados!$A$4:$D$9,2,FALSE)</f>
        <v>Centroamérica</v>
      </c>
      <c r="M96" s="16">
        <f>VLOOKUP(E96,Mercados!$A$4:$D$9,3,FALSE)</f>
        <v>0.02</v>
      </c>
      <c r="N96" s="10" t="str">
        <f>VLOOKUP(E96,Mercados!$A$4:$D$9,4,FALSE)</f>
        <v>Estratégico</v>
      </c>
      <c r="O96" s="29">
        <f t="shared" si="14"/>
        <v>7125</v>
      </c>
      <c r="P96" s="29">
        <f t="shared" si="15"/>
        <v>4959</v>
      </c>
      <c r="Q96" s="29">
        <f t="shared" si="16"/>
        <v>2166</v>
      </c>
      <c r="R96" s="16">
        <f t="shared" si="17"/>
        <v>0.30399999999999999</v>
      </c>
      <c r="S96" s="10" t="str">
        <f t="shared" si="18"/>
        <v>Alta</v>
      </c>
      <c r="T96" s="10" t="str">
        <f t="shared" si="19"/>
        <v>Mediana</v>
      </c>
      <c r="U96" s="11" t="str">
        <f t="shared" si="20"/>
        <v>Alta</v>
      </c>
    </row>
    <row r="97" spans="1:21">
      <c r="A97" s="9" t="s">
        <v>210</v>
      </c>
      <c r="B97" s="23">
        <v>46095</v>
      </c>
      <c r="C97" s="10" t="s">
        <v>116</v>
      </c>
      <c r="D97" s="10" t="s">
        <v>114</v>
      </c>
      <c r="E97" s="10" t="s">
        <v>69</v>
      </c>
      <c r="F97" s="26">
        <v>880</v>
      </c>
      <c r="G97" s="29">
        <v>8.1999999999999993</v>
      </c>
      <c r="H97" s="29">
        <v>5.9</v>
      </c>
      <c r="I97" s="10" t="s">
        <v>107</v>
      </c>
      <c r="J97" s="10" t="str">
        <f>VLOOKUP(D97,Productos!$A$4:$D$8,2,FALSE)</f>
        <v>Maní procesado</v>
      </c>
      <c r="K97" s="10" t="str">
        <f>VLOOKUP(D97,Productos!$A$4:$D$8,3,FALSE)</f>
        <v>Semillas</v>
      </c>
      <c r="L97" s="10" t="str">
        <f>VLOOKUP(E97,Mercados!$A$4:$D$9,2,FALSE)</f>
        <v>Europa</v>
      </c>
      <c r="M97" s="16">
        <f>VLOOKUP(E97,Mercados!$A$4:$D$9,3,FALSE)</f>
        <v>0.1</v>
      </c>
      <c r="N97" s="10" t="str">
        <f>VLOOKUP(E97,Mercados!$A$4:$D$9,4,FALSE)</f>
        <v>Potencial</v>
      </c>
      <c r="O97" s="29">
        <f t="shared" si="14"/>
        <v>7215.9999999999991</v>
      </c>
      <c r="P97" s="29">
        <f t="shared" si="15"/>
        <v>5192</v>
      </c>
      <c r="Q97" s="29">
        <f t="shared" si="16"/>
        <v>2023.9999999999991</v>
      </c>
      <c r="R97" s="16">
        <f t="shared" si="17"/>
        <v>0.2804878048780487</v>
      </c>
      <c r="S97" s="10" t="str">
        <f t="shared" si="18"/>
        <v>Media</v>
      </c>
      <c r="T97" s="10" t="str">
        <f t="shared" si="19"/>
        <v>Mediana</v>
      </c>
      <c r="U97" s="11" t="str">
        <f t="shared" si="20"/>
        <v>Baja</v>
      </c>
    </row>
    <row r="98" spans="1:21">
      <c r="A98" s="9" t="s">
        <v>211</v>
      </c>
      <c r="B98" s="23">
        <v>46104</v>
      </c>
      <c r="C98" s="10" t="s">
        <v>120</v>
      </c>
      <c r="D98" s="10" t="s">
        <v>117</v>
      </c>
      <c r="E98" s="10" t="s">
        <v>73</v>
      </c>
      <c r="F98" s="26">
        <v>1060</v>
      </c>
      <c r="G98" s="29">
        <v>7.1</v>
      </c>
      <c r="H98" s="29">
        <v>4.8</v>
      </c>
      <c r="I98" s="10" t="s">
        <v>111</v>
      </c>
      <c r="J98" s="10" t="str">
        <f>VLOOKUP(D98,Productos!$A$4:$D$8,2,FALSE)</f>
        <v>Cacao en grano</v>
      </c>
      <c r="K98" s="10" t="str">
        <f>VLOOKUP(D98,Productos!$A$4:$D$8,3,FALSE)</f>
        <v>Cacao</v>
      </c>
      <c r="L98" s="10" t="str">
        <f>VLOOKUP(E98,Mercados!$A$4:$D$9,2,FALSE)</f>
        <v>Norteamérica</v>
      </c>
      <c r="M98" s="16">
        <f>VLOOKUP(E98,Mercados!$A$4:$D$9,3,FALSE)</f>
        <v>0.08</v>
      </c>
      <c r="N98" s="10" t="str">
        <f>VLOOKUP(E98,Mercados!$A$4:$D$9,4,FALSE)</f>
        <v>Potencial</v>
      </c>
      <c r="O98" s="29">
        <f t="shared" si="14"/>
        <v>7526</v>
      </c>
      <c r="P98" s="29">
        <f t="shared" si="15"/>
        <v>5088</v>
      </c>
      <c r="Q98" s="29">
        <f t="shared" si="16"/>
        <v>2438</v>
      </c>
      <c r="R98" s="16">
        <f t="shared" si="17"/>
        <v>0.323943661971831</v>
      </c>
      <c r="S98" s="10" t="str">
        <f t="shared" si="18"/>
        <v>Alta</v>
      </c>
      <c r="T98" s="10" t="str">
        <f t="shared" si="19"/>
        <v>Mediana</v>
      </c>
      <c r="U98" s="11" t="str">
        <f t="shared" si="20"/>
        <v>Media</v>
      </c>
    </row>
    <row r="99" spans="1:21">
      <c r="A99" s="9" t="s">
        <v>212</v>
      </c>
      <c r="B99" s="23">
        <v>46114</v>
      </c>
      <c r="C99" s="10" t="s">
        <v>109</v>
      </c>
      <c r="D99" s="10" t="s">
        <v>106</v>
      </c>
      <c r="E99" s="10" t="s">
        <v>65</v>
      </c>
      <c r="F99" s="26">
        <v>1490</v>
      </c>
      <c r="G99" s="29">
        <v>4.8</v>
      </c>
      <c r="H99" s="29">
        <v>3.2</v>
      </c>
      <c r="I99" s="10" t="s">
        <v>118</v>
      </c>
      <c r="J99" s="10" t="str">
        <f>VLOOKUP(D99,Productos!$A$4:$D$8,2,FALSE)</f>
        <v>Miel natural</v>
      </c>
      <c r="K99" s="10" t="str">
        <f>VLOOKUP(D99,Productos!$A$4:$D$8,3,FALSE)</f>
        <v>Apícola</v>
      </c>
      <c r="L99" s="10" t="str">
        <f>VLOOKUP(E99,Mercados!$A$4:$D$9,2,FALSE)</f>
        <v>Norteamérica</v>
      </c>
      <c r="M99" s="16">
        <f>VLOOKUP(E99,Mercados!$A$4:$D$9,3,FALSE)</f>
        <v>0.05</v>
      </c>
      <c r="N99" s="10" t="str">
        <f>VLOOKUP(E99,Mercados!$A$4:$D$9,4,FALSE)</f>
        <v>Estratégico</v>
      </c>
      <c r="O99" s="29">
        <f t="shared" si="14"/>
        <v>7152</v>
      </c>
      <c r="P99" s="29">
        <f t="shared" si="15"/>
        <v>4768</v>
      </c>
      <c r="Q99" s="29">
        <f t="shared" si="16"/>
        <v>2384</v>
      </c>
      <c r="R99" s="16">
        <f t="shared" si="17"/>
        <v>0.33333333333333331</v>
      </c>
      <c r="S99" s="10" t="str">
        <f t="shared" si="18"/>
        <v>Alta</v>
      </c>
      <c r="T99" s="10" t="str">
        <f t="shared" si="19"/>
        <v>Mediana</v>
      </c>
      <c r="U99" s="11" t="str">
        <f t="shared" si="20"/>
        <v>Alta</v>
      </c>
    </row>
    <row r="100" spans="1:21">
      <c r="A100" s="9" t="s">
        <v>213</v>
      </c>
      <c r="B100" s="23">
        <v>46123</v>
      </c>
      <c r="C100" s="10" t="s">
        <v>105</v>
      </c>
      <c r="D100" s="10" t="s">
        <v>110</v>
      </c>
      <c r="E100" s="10" t="s">
        <v>77</v>
      </c>
      <c r="F100" s="26">
        <v>910</v>
      </c>
      <c r="G100" s="29">
        <v>6.5</v>
      </c>
      <c r="H100" s="29">
        <v>4.0999999999999996</v>
      </c>
      <c r="I100" s="10" t="s">
        <v>107</v>
      </c>
      <c r="J100" s="10" t="str">
        <f>VLOOKUP(D100,Productos!$A$4:$D$8,2,FALSE)</f>
        <v>Café especial</v>
      </c>
      <c r="K100" s="10" t="str">
        <f>VLOOKUP(D100,Productos!$A$4:$D$8,3,FALSE)</f>
        <v>Café</v>
      </c>
      <c r="L100" s="10" t="str">
        <f>VLOOKUP(E100,Mercados!$A$4:$D$9,2,FALSE)</f>
        <v>Centroamérica</v>
      </c>
      <c r="M100" s="16">
        <f>VLOOKUP(E100,Mercados!$A$4:$D$9,3,FALSE)</f>
        <v>0.03</v>
      </c>
      <c r="N100" s="10" t="str">
        <f>VLOOKUP(E100,Mercados!$A$4:$D$9,4,FALSE)</f>
        <v>Estratégico</v>
      </c>
      <c r="O100" s="29">
        <f t="shared" si="14"/>
        <v>5915</v>
      </c>
      <c r="P100" s="29">
        <f t="shared" si="15"/>
        <v>3730.9999999999995</v>
      </c>
      <c r="Q100" s="29">
        <f t="shared" ref="Q100:Q131" si="21">O100-P100</f>
        <v>2184.0000000000005</v>
      </c>
      <c r="R100" s="16">
        <f t="shared" ref="R100:R131" si="22">Q100/O100</f>
        <v>0.36923076923076931</v>
      </c>
      <c r="S100" s="10" t="str">
        <f t="shared" ref="S100:S131" si="23">IF(R100&gt;=30%,"Alta",IF(R100&gt;=15%,"Media","Baja"))</f>
        <v>Alta</v>
      </c>
      <c r="T100" s="10" t="str">
        <f t="shared" si="19"/>
        <v>Mediana</v>
      </c>
      <c r="U100" s="11" t="str">
        <f t="shared" si="20"/>
        <v>Alta</v>
      </c>
    </row>
    <row r="101" spans="1:21">
      <c r="A101" s="9" t="s">
        <v>214</v>
      </c>
      <c r="B101" s="23">
        <v>46132</v>
      </c>
      <c r="C101" s="10" t="s">
        <v>113</v>
      </c>
      <c r="D101" s="10" t="s">
        <v>114</v>
      </c>
      <c r="E101" s="10" t="s">
        <v>79</v>
      </c>
      <c r="F101" s="26">
        <v>740</v>
      </c>
      <c r="G101" s="29">
        <v>8.1999999999999993</v>
      </c>
      <c r="H101" s="29">
        <v>5.9</v>
      </c>
      <c r="I101" s="10" t="s">
        <v>111</v>
      </c>
      <c r="J101" s="10" t="str">
        <f>VLOOKUP(D101,Productos!$A$4:$D$8,2,FALSE)</f>
        <v>Maní procesado</v>
      </c>
      <c r="K101" s="10" t="str">
        <f>VLOOKUP(D101,Productos!$A$4:$D$8,3,FALSE)</f>
        <v>Semillas</v>
      </c>
      <c r="L101" s="10" t="str">
        <f>VLOOKUP(E101,Mercados!$A$4:$D$9,2,FALSE)</f>
        <v>Centroamérica</v>
      </c>
      <c r="M101" s="16">
        <f>VLOOKUP(E101,Mercados!$A$4:$D$9,3,FALSE)</f>
        <v>0.02</v>
      </c>
      <c r="N101" s="10" t="str">
        <f>VLOOKUP(E101,Mercados!$A$4:$D$9,4,FALSE)</f>
        <v>Estratégico</v>
      </c>
      <c r="O101" s="29">
        <f t="shared" si="14"/>
        <v>6067.9999999999991</v>
      </c>
      <c r="P101" s="29">
        <f t="shared" si="15"/>
        <v>4366</v>
      </c>
      <c r="Q101" s="29">
        <f t="shared" si="21"/>
        <v>1701.9999999999991</v>
      </c>
      <c r="R101" s="16">
        <f t="shared" si="22"/>
        <v>0.2804878048780487</v>
      </c>
      <c r="S101" s="10" t="str">
        <f t="shared" si="23"/>
        <v>Media</v>
      </c>
      <c r="T101" s="10" t="str">
        <f t="shared" si="19"/>
        <v>Mediana</v>
      </c>
      <c r="U101" s="11" t="str">
        <f t="shared" si="20"/>
        <v>Media</v>
      </c>
    </row>
    <row r="102" spans="1:21">
      <c r="A102" s="9" t="s">
        <v>215</v>
      </c>
      <c r="B102" s="23">
        <v>46141</v>
      </c>
      <c r="C102" s="10" t="s">
        <v>116</v>
      </c>
      <c r="D102" s="10" t="s">
        <v>121</v>
      </c>
      <c r="E102" s="10" t="s">
        <v>69</v>
      </c>
      <c r="F102" s="26">
        <v>630</v>
      </c>
      <c r="G102" s="29">
        <v>12.5</v>
      </c>
      <c r="H102" s="29">
        <v>8.6999999999999993</v>
      </c>
      <c r="I102" s="10" t="s">
        <v>107</v>
      </c>
      <c r="J102" s="10" t="str">
        <f>VLOOKUP(D102,Productos!$A$4:$D$8,2,FALSE)</f>
        <v>Aceite de ajonjolí</v>
      </c>
      <c r="K102" s="10" t="str">
        <f>VLOOKUP(D102,Productos!$A$4:$D$8,3,FALSE)</f>
        <v>Aceites</v>
      </c>
      <c r="L102" s="10" t="str">
        <f>VLOOKUP(E102,Mercados!$A$4:$D$9,2,FALSE)</f>
        <v>Europa</v>
      </c>
      <c r="M102" s="16">
        <f>VLOOKUP(E102,Mercados!$A$4:$D$9,3,FALSE)</f>
        <v>0.1</v>
      </c>
      <c r="N102" s="10" t="str">
        <f>VLOOKUP(E102,Mercados!$A$4:$D$9,4,FALSE)</f>
        <v>Potencial</v>
      </c>
      <c r="O102" s="29">
        <f t="shared" si="14"/>
        <v>7875</v>
      </c>
      <c r="P102" s="29">
        <f t="shared" si="15"/>
        <v>5481</v>
      </c>
      <c r="Q102" s="29">
        <f t="shared" si="21"/>
        <v>2394</v>
      </c>
      <c r="R102" s="16">
        <f t="shared" si="22"/>
        <v>0.30399999999999999</v>
      </c>
      <c r="S102" s="10" t="str">
        <f t="shared" si="23"/>
        <v>Alta</v>
      </c>
      <c r="T102" s="10" t="str">
        <f t="shared" si="19"/>
        <v>Mediana</v>
      </c>
      <c r="U102" s="11" t="str">
        <f t="shared" si="20"/>
        <v>Media</v>
      </c>
    </row>
    <row r="103" spans="1:21">
      <c r="A103" s="12" t="s">
        <v>216</v>
      </c>
      <c r="B103" s="24">
        <v>46150</v>
      </c>
      <c r="C103" s="13" t="s">
        <v>120</v>
      </c>
      <c r="D103" s="13" t="s">
        <v>110</v>
      </c>
      <c r="E103" s="13" t="s">
        <v>73</v>
      </c>
      <c r="F103" s="27">
        <v>1170</v>
      </c>
      <c r="G103" s="30">
        <v>6.5</v>
      </c>
      <c r="H103" s="30">
        <v>4.0999999999999996</v>
      </c>
      <c r="I103" s="13" t="s">
        <v>111</v>
      </c>
      <c r="J103" s="13" t="str">
        <f>VLOOKUP(D103,Productos!$A$4:$D$8,2,FALSE)</f>
        <v>Café especial</v>
      </c>
      <c r="K103" s="13" t="str">
        <f>VLOOKUP(D103,Productos!$A$4:$D$8,3,FALSE)</f>
        <v>Café</v>
      </c>
      <c r="L103" s="13" t="str">
        <f>VLOOKUP(E103,Mercados!$A$4:$D$9,2,FALSE)</f>
        <v>Norteamérica</v>
      </c>
      <c r="M103" s="17">
        <f>VLOOKUP(E103,Mercados!$A$4:$D$9,3,FALSE)</f>
        <v>0.08</v>
      </c>
      <c r="N103" s="13" t="str">
        <f>VLOOKUP(E103,Mercados!$A$4:$D$9,4,FALSE)</f>
        <v>Potencial</v>
      </c>
      <c r="O103" s="30">
        <f t="shared" si="14"/>
        <v>7605</v>
      </c>
      <c r="P103" s="30">
        <f t="shared" si="15"/>
        <v>4797</v>
      </c>
      <c r="Q103" s="30">
        <f t="shared" si="21"/>
        <v>2808</v>
      </c>
      <c r="R103" s="17">
        <f t="shared" si="22"/>
        <v>0.36923076923076925</v>
      </c>
      <c r="S103" s="13" t="str">
        <f t="shared" si="23"/>
        <v>Alta</v>
      </c>
      <c r="T103" s="13" t="str">
        <f t="shared" si="19"/>
        <v>Mediana</v>
      </c>
      <c r="U103" s="14" t="str">
        <f t="shared" si="20"/>
        <v>Media</v>
      </c>
    </row>
    <row r="104" spans="1:2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>
      <c r="A105" s="31" t="s">
        <v>217</v>
      </c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</row>
    <row r="106" spans="1:2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</sheetData>
  <conditionalFormatting sqref="I4:I103">
    <cfRule type="containsText" dxfId="1" priority="1" operator="containsText" text="Pendiente"/>
  </conditionalFormatting>
  <conditionalFormatting sqref="U4:U103">
    <cfRule type="containsText" dxfId="0" priority="2" operator="containsText" text="Alta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A441"/>
  </sheetPr>
  <dimension ref="A1:U120"/>
  <sheetViews>
    <sheetView showGridLines="0" workbookViewId="0"/>
  </sheetViews>
  <sheetFormatPr baseColWidth="10" defaultColWidth="8.796875" defaultRowHeight="13.8"/>
  <cols>
    <col min="1" max="1" width="12" customWidth="1"/>
    <col min="2" max="2" width="22" customWidth="1"/>
    <col min="3" max="3" width="16" customWidth="1"/>
    <col min="4" max="4" width="18" customWidth="1"/>
  </cols>
  <sheetData>
    <row r="1" spans="1:21" ht="19.2">
      <c r="A1" s="2" t="s">
        <v>218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3" t="s">
        <v>219</v>
      </c>
      <c r="B3" s="4" t="s">
        <v>60</v>
      </c>
      <c r="C3" s="4" t="s">
        <v>96</v>
      </c>
      <c r="D3" s="5" t="s">
        <v>220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6" t="s">
        <v>110</v>
      </c>
      <c r="B4" s="7" t="s">
        <v>66</v>
      </c>
      <c r="C4" s="7" t="s">
        <v>221</v>
      </c>
      <c r="D4" s="8" t="s">
        <v>222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9" t="s">
        <v>117</v>
      </c>
      <c r="B5" s="10" t="s">
        <v>78</v>
      </c>
      <c r="C5" s="10" t="s">
        <v>223</v>
      </c>
      <c r="D5" s="11" t="s">
        <v>222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>
      <c r="A6" s="9" t="s">
        <v>106</v>
      </c>
      <c r="B6" s="10" t="s">
        <v>74</v>
      </c>
      <c r="C6" s="10" t="s">
        <v>224</v>
      </c>
      <c r="D6" s="11" t="s">
        <v>222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>
      <c r="A7" s="9" t="s">
        <v>114</v>
      </c>
      <c r="B7" s="10" t="s">
        <v>80</v>
      </c>
      <c r="C7" s="10" t="s">
        <v>225</v>
      </c>
      <c r="D7" s="11" t="s">
        <v>222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>
      <c r="A8" s="12" t="s">
        <v>121</v>
      </c>
      <c r="B8" s="13" t="s">
        <v>70</v>
      </c>
      <c r="C8" s="13" t="s">
        <v>226</v>
      </c>
      <c r="D8" s="14" t="s">
        <v>227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9A441"/>
  </sheetPr>
  <dimension ref="A1:U120"/>
  <sheetViews>
    <sheetView showGridLines="0" workbookViewId="0"/>
  </sheetViews>
  <sheetFormatPr baseColWidth="10" defaultColWidth="8.796875" defaultRowHeight="13.8"/>
  <cols>
    <col min="1" max="1" width="18" customWidth="1"/>
    <col min="2" max="2" width="19" customWidth="1"/>
    <col min="3" max="3" width="14" customWidth="1"/>
    <col min="4" max="4" width="18" customWidth="1"/>
  </cols>
  <sheetData>
    <row r="1" spans="1:21" ht="19.2">
      <c r="A1" s="2" t="s">
        <v>228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3" t="s">
        <v>58</v>
      </c>
      <c r="B3" s="4" t="s">
        <v>62</v>
      </c>
      <c r="C3" s="4" t="s">
        <v>97</v>
      </c>
      <c r="D3" s="5" t="s">
        <v>229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6" t="s">
        <v>65</v>
      </c>
      <c r="B4" s="7" t="s">
        <v>67</v>
      </c>
      <c r="C4" s="15">
        <v>0.05</v>
      </c>
      <c r="D4" s="8" t="s">
        <v>230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9" t="s">
        <v>73</v>
      </c>
      <c r="B5" s="10" t="s">
        <v>67</v>
      </c>
      <c r="C5" s="16">
        <v>0.08</v>
      </c>
      <c r="D5" s="11" t="s">
        <v>231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>
      <c r="A6" s="9" t="s">
        <v>77</v>
      </c>
      <c r="B6" s="10" t="s">
        <v>71</v>
      </c>
      <c r="C6" s="16">
        <v>0.03</v>
      </c>
      <c r="D6" s="11" t="s">
        <v>230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>
      <c r="A7" s="9" t="s">
        <v>79</v>
      </c>
      <c r="B7" s="10" t="s">
        <v>71</v>
      </c>
      <c r="C7" s="16">
        <v>0.02</v>
      </c>
      <c r="D7" s="11" t="s">
        <v>230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>
      <c r="A8" s="9" t="s">
        <v>232</v>
      </c>
      <c r="B8" s="10" t="s">
        <v>71</v>
      </c>
      <c r="C8" s="16">
        <v>0.02</v>
      </c>
      <c r="D8" s="11" t="s">
        <v>231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>
      <c r="A9" s="12" t="s">
        <v>69</v>
      </c>
      <c r="B9" s="13" t="s">
        <v>75</v>
      </c>
      <c r="C9" s="17">
        <v>0.1</v>
      </c>
      <c r="D9" s="14" t="s">
        <v>231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 Ejecutivo</vt:lpstr>
      <vt:lpstr>Tablas y gráficos</vt:lpstr>
      <vt:lpstr>Tablas dinámicas</vt:lpstr>
      <vt:lpstr>Operaciones</vt:lpstr>
      <vt:lpstr>Productos</vt:lpstr>
      <vt:lpstr>Mercados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Alumno JJ</cp:lastModifiedBy>
  <dcterms:created xsi:type="dcterms:W3CDTF">2026-09-11T17:27:14Z</dcterms:created>
  <dcterms:modified xsi:type="dcterms:W3CDTF">2026-09-11T17:34:08Z</dcterms:modified>
</cp:coreProperties>
</file>